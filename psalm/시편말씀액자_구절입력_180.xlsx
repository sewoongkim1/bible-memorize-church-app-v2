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구절 입력" sheetId="2" state="visible" r:id="rId2"/>
    <sheet xmlns:r="http://schemas.openxmlformats.org/officeDocument/2006/relationships" name="진행 상황" sheetId="3" state="visible" r:id="rId3"/>
  </sheets>
  <definedNames>
    <definedName name="_xlnm._FilterDatabase" localSheetId="1" hidden="1">'구절 입력'!$A$3:$I$183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1A3A6B"/>
      <sz val="18"/>
    </font>
    <font>
      <name val="맑은 고딕"/>
      <charset val="129"/>
      <family val="3"/>
      <color rgb="FF4A5560"/>
      <sz val="11"/>
    </font>
    <font>
      <name val="맑은 고딕"/>
      <charset val="129"/>
      <family val="3"/>
      <b val="1"/>
      <color rgb="FF1A3A6B"/>
      <sz val="13"/>
    </font>
    <font>
      <name val="맑은 고딕"/>
      <charset val="129"/>
      <family val="3"/>
      <color rgb="FF1F2328"/>
      <sz val="11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8A6216"/>
      <sz val="13"/>
    </font>
    <font>
      <name val="맑은 고딕"/>
      <charset val="129"/>
      <family val="3"/>
      <color rgb="FF8A6216"/>
      <sz val="10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1F2328"/>
      <sz val="11"/>
    </font>
    <font>
      <name val="맑은 고딕"/>
      <charset val="129"/>
      <family val="3"/>
      <b val="1"/>
      <color rgb="FFB04A4A"/>
      <sz val="10"/>
    </font>
    <font>
      <name val="맑은 고딕"/>
      <charset val="129"/>
      <family val="3"/>
      <color rgb="FFB04A4A"/>
      <sz val="10"/>
    </font>
    <font>
      <name val="맑은 고딕"/>
      <charset val="129"/>
      <family val="3"/>
      <b val="1"/>
      <color rgb="FF1A3A6B"/>
      <sz val="16"/>
    </font>
    <font>
      <name val="맑은 고딕"/>
      <charset val="129"/>
      <family val="3"/>
      <b val="1"/>
      <color rgb="FF1A3A6B"/>
      <sz val="12"/>
    </font>
    <font>
      <name val="맑은 고딕"/>
      <charset val="129"/>
      <family val="3"/>
      <b val="1"/>
      <sz val="14"/>
    </font>
    <font>
      <name val="맑은 고딕"/>
      <charset val="129"/>
      <family val="3"/>
      <color rgb="FF4A5560"/>
      <sz val="10"/>
    </font>
    <font>
      <name val="맑은 고딕"/>
      <charset val="129"/>
      <family val="3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1A3A6B"/>
      </patternFill>
    </fill>
    <fill>
      <patternFill patternType="solid">
        <fgColor rgb="FFFFF6E0"/>
      </patternFill>
    </fill>
    <fill>
      <patternFill patternType="solid">
        <fgColor rgb="FFEDF6EE"/>
      </patternFill>
    </fill>
    <fill>
      <patternFill patternType="solid">
        <fgColor rgb="FFFCE4E4"/>
      </patternFill>
    </fill>
    <fill>
      <patternFill patternType="solid">
        <fgColor rgb="FFC3A253"/>
      </patternFill>
    </fill>
    <fill>
      <patternFill patternType="solid">
        <fgColor rgb="FFF2ECE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8D0BC"/>
      </left>
      <right style="thin">
        <color rgb="FFD8D0BC"/>
      </right>
      <top style="thin">
        <color rgb="FFD8D0BC"/>
      </top>
      <bottom style="thin">
        <color rgb="FFD8D0BC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4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vertical="center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10" fillId="2" borderId="0" applyAlignment="1" pivotButton="0" quotePrefix="0" xfId="0">
      <alignment horizontal="center" vertical="center"/>
    </xf>
    <xf numFmtId="0" fontId="15" fillId="0" borderId="0" pivotButton="0" quotePrefix="0" xfId="0"/>
  </cellXfs>
  <cellStyles count="1">
    <cellStyle name="표준" xfId="0" builtinId="0"/>
  </cellStyles>
  <dxfs count="3">
    <dxf>
      <fill>
        <patternFill patternType="solid">
          <bgColor rgb="FFEDF6EE"/>
        </patternFill>
      </fill>
    </dxf>
    <dxf>
      <fill>
        <patternFill patternType="solid">
          <bgColor rgb="FFFFF6E0"/>
        </patternFill>
      </fill>
    </dxf>
    <dxf>
      <fill>
        <patternFill patternType="solid">
          <bgColor rgb="FF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4"/>
  <sheetViews>
    <sheetView showGridLines="0" workbookViewId="0">
      <selection activeCell="A1" sqref="A1"/>
    </sheetView>
  </sheetViews>
  <sheetFormatPr baseColWidth="8" defaultRowHeight="16.9"/>
  <cols>
    <col width="3" customWidth="1" style="24" min="1" max="1"/>
    <col width="16" customWidth="1" style="24" min="2" max="2"/>
    <col width="12" customWidth="1" style="24" min="3" max="3"/>
    <col width="14" customWidth="1" style="24" min="4" max="5"/>
    <col width="30" customWidth="1" style="24" min="6" max="6"/>
  </cols>
  <sheetData>
    <row r="2" ht="34.05" customHeight="1" s="24">
      <c r="B2" s="28" t="inlineStr">
        <is>
          <t>시편 말씀 액자 — 구절 입력 양식</t>
        </is>
      </c>
    </row>
    <row r="3">
      <c r="B3" s="25" t="inlineStr">
        <is>
          <t>2026년 09월 21일(월) 1일차 시작 · 하루에 한 편씩 180일</t>
        </is>
      </c>
    </row>
    <row r="5" ht="19.5" customHeight="1" s="24">
      <c r="B5" s="27" t="inlineStr">
        <is>
          <t>채워 주실 것은 두 칸입니다</t>
        </is>
      </c>
    </row>
    <row r="6">
      <c r="B6" s="26" t="inlineStr">
        <is>
          <t>「구절 입력」 시트의  D열 출처  ·  E열 개역개정 본문  — 이 둘뿐입니다.</t>
        </is>
      </c>
    </row>
    <row r="7">
      <c r="B7" s="25" t="inlineStr">
        <is>
          <t>나머지(순번·열리는 날·길이·판정)는 저절로 채워집니다.</t>
        </is>
      </c>
    </row>
    <row r="9" ht="19.5" customHeight="1" s="24">
      <c r="B9" s="27" t="inlineStr">
        <is>
          <t>본문을 붙여 넣으면 그 자리에서 길이를 알려 드립니다</t>
        </is>
      </c>
    </row>
    <row r="10" ht="30" customHeight="1" s="24">
      <c r="B10" s="23" t="inlineStr">
        <is>
          <t>G열 판정이 빨간 「너무 김」이면 액자 다섯 줄에 안 들어갑니다. 그 절은 빼시거나 더 짧은 절로 바꿔 주세요.</t>
        </is>
      </c>
    </row>
    <row r="11" ht="30" customHeight="1" s="24">
      <c r="B11" s="23" t="inlineStr">
        <is>
          <t>노란 「짧음」은 괜찮습니다 — 다만 액자가 좀 허전하니 앞뒤 절을 붙여 한 편으로 묶으셔도 좋습니다.</t>
        </is>
      </c>
    </row>
    <row r="13" ht="19.5" customHeight="1" s="24">
      <c r="B13" s="27" t="inlineStr">
        <is>
          <t>왜 이런 잣대인가</t>
        </is>
      </c>
    </row>
    <row r="14" ht="30" customHeight="1" s="24">
      <c r="B14" s="23" t="inlineStr">
        <is>
          <t>암송 3단계에서는 모든 낱말이 빈칸이 되는데, 빈칸은 글자보다 자리를 더 차지합니다. 그래서 「글자수 + 낱말수」로 재고 76을 넘지 않게 합니다.</t>
        </is>
      </c>
    </row>
    <row r="16">
      <c r="B16" s="1" t="inlineStr">
        <is>
          <t>구절</t>
        </is>
      </c>
      <c r="C16" s="1" t="inlineStr">
        <is>
          <t>공백 포함</t>
        </is>
      </c>
      <c r="D16" s="1" t="inlineStr">
        <is>
          <t>글자+낱말</t>
        </is>
      </c>
      <c r="E16" s="1" t="inlineStr">
        <is>
          <t>판정</t>
        </is>
      </c>
      <c r="F16" s="1" t="inlineStr">
        <is>
          <t>액자에서</t>
        </is>
      </c>
    </row>
    <row r="17">
      <c r="B17" s="2" t="inlineStr">
        <is>
          <t>시편 23편 1절</t>
        </is>
      </c>
      <c r="C17" s="3" t="inlineStr">
        <is>
          <t>26자</t>
        </is>
      </c>
      <c r="D17" s="3" t="inlineStr">
        <is>
          <t>27</t>
        </is>
      </c>
      <c r="E17" s="4" t="inlineStr">
        <is>
          <t>짧음</t>
        </is>
      </c>
      <c r="F17" s="3" t="inlineStr">
        <is>
          <t>액자가 허전하다</t>
        </is>
      </c>
    </row>
    <row r="18">
      <c r="B18" s="2" t="inlineStr">
        <is>
          <t>시편 119편 105절</t>
        </is>
      </c>
      <c r="C18" s="3" t="inlineStr">
        <is>
          <t>26자</t>
        </is>
      </c>
      <c r="D18" s="3" t="inlineStr">
        <is>
          <t>27</t>
        </is>
      </c>
      <c r="E18" s="4" t="inlineStr">
        <is>
          <t>짧음</t>
        </is>
      </c>
      <c r="F18" s="3" t="inlineStr">
        <is>
          <t>액자가 허전하다</t>
        </is>
      </c>
    </row>
    <row r="19">
      <c r="B19" s="5" t="inlineStr">
        <is>
          <t>시편 1편 1절</t>
        </is>
      </c>
      <c r="C19" s="6" t="inlineStr">
        <is>
          <t>61자</t>
        </is>
      </c>
      <c r="D19" s="6" t="inlineStr">
        <is>
          <t>62</t>
        </is>
      </c>
      <c r="E19" s="7" t="inlineStr">
        <is>
          <t>좋음</t>
        </is>
      </c>
      <c r="F19" s="6" t="inlineStr">
        <is>
          <t>가장 알맞다</t>
        </is>
      </c>
    </row>
    <row r="20">
      <c r="B20" s="5" t="inlineStr">
        <is>
          <t>시편 1편 3절</t>
        </is>
      </c>
      <c r="C20" s="6" t="inlineStr">
        <is>
          <t>68자</t>
        </is>
      </c>
      <c r="D20" s="6" t="inlineStr">
        <is>
          <t>69</t>
        </is>
      </c>
      <c r="E20" s="7" t="inlineStr">
        <is>
          <t>좋음</t>
        </is>
      </c>
      <c r="F20" s="6" t="inlineStr">
        <is>
          <t>아슬하지만 들어간다</t>
        </is>
      </c>
    </row>
    <row r="21">
      <c r="B21" s="8" t="inlineStr">
        <is>
          <t>(90자짜리 절)</t>
        </is>
      </c>
      <c r="C21" s="9" t="inlineStr">
        <is>
          <t>90자</t>
        </is>
      </c>
      <c r="D21" s="9" t="inlineStr">
        <is>
          <t>91</t>
        </is>
      </c>
      <c r="E21" s="10" t="inlineStr">
        <is>
          <t>너무 김</t>
        </is>
      </c>
      <c r="F21" s="9" t="inlineStr">
        <is>
          <t>다섯 줄을 넘는다</t>
        </is>
      </c>
    </row>
    <row r="24" ht="19.5" customHeight="1" s="24">
      <c r="B24" s="27" t="inlineStr">
        <is>
          <t>출처는 이렇게 적어 주세요</t>
        </is>
      </c>
    </row>
    <row r="25">
      <c r="B25" s="26" t="inlineStr">
        <is>
          <t>시편 1편 1절     ·     시편 119편 105절     — 「편」과 「절」을 붙여 주시면 됩니다.</t>
        </is>
      </c>
    </row>
    <row r="26">
      <c r="B26" s="25" t="inlineStr">
        <is>
          <t>한 편에 두 절을 묶으실 때는:  시편 1편 1-2절</t>
        </is>
      </c>
    </row>
    <row r="28" ht="19.5" customHeight="1" s="24">
      <c r="B28" s="27" t="inlineStr">
        <is>
          <t>액자 그림(H열)은 비워 두셔도 됩니다</t>
        </is>
      </c>
    </row>
    <row r="29" ht="30" customHeight="1" s="24">
      <c r="B29" s="23" t="inlineStr">
        <is>
          <t>비워 두시면 1~12번 그림이 고르게 배정됩니다. 「이 말씀엔 포도가 어울린다」 싶은 곳만 번호를 적어 주세요.</t>
        </is>
      </c>
    </row>
    <row r="31" ht="19.5" customHeight="1" s="24">
      <c r="B31" s="30" t="inlineStr">
        <is>
          <t>마감</t>
        </is>
      </c>
    </row>
    <row r="32" ht="32" customHeight="1" s="24">
      <c r="B32" s="23" t="inlineStr">
        <is>
          <t>9월 17일(목)까지 주시면 9월 21일(월) 시작에 맞출 수 있습니다. 다 못 채우셔도 괜찮습니다 — 앞에서부터 30편만 있어도 한 달을 갑니다.</t>
        </is>
      </c>
    </row>
    <row r="34" ht="30" customHeight="1" s="24">
      <c r="B34" s="29" t="inlineStr">
        <is>
          <t>※ 본문은 성경 프로그램이나 사이트에서 복사해 붙여 넣어 주세요. 한 글자도 틀리면 안 되는 자리라 사람 손으로 받습니다.</t>
        </is>
      </c>
    </row>
  </sheetData>
  <mergeCells count="18">
    <mergeCell ref="B29:F29"/>
    <mergeCell ref="B7:F7"/>
    <mergeCell ref="B6:F6"/>
    <mergeCell ref="B24:F24"/>
    <mergeCell ref="B2:F2"/>
    <mergeCell ref="B34:F34"/>
    <mergeCell ref="B10:F10"/>
    <mergeCell ref="B11:F11"/>
    <mergeCell ref="B25:F25"/>
    <mergeCell ref="B3:F3"/>
    <mergeCell ref="B5:F5"/>
    <mergeCell ref="B28:F28"/>
    <mergeCell ref="B31:F31"/>
    <mergeCell ref="B14:F14"/>
    <mergeCell ref="B32:F3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"/>
  <sheetViews>
    <sheetView showGridLines="0" tabSelected="1" workbookViewId="0">
      <pane ySplit="3" topLeftCell="A4" activePane="bottomLeft" state="frozen"/>
      <selection pane="bottomLeft" activeCell="D14" sqref="D14"/>
    </sheetView>
  </sheetViews>
  <sheetFormatPr baseColWidth="8" defaultRowHeight="16.9"/>
  <cols>
    <col width="7" customWidth="1" style="24" min="1" max="1"/>
    <col width="13" customWidth="1" style="24" min="2" max="2"/>
    <col width="6" customWidth="1" style="24" min="3" max="3"/>
    <col width="20" customWidth="1" style="24" min="4" max="4"/>
    <col width="78.4375" customWidth="1" style="24" min="5" max="5"/>
    <col width="8" customWidth="1" style="24" min="6" max="6"/>
    <col width="12" customWidth="1" style="24" min="7" max="7"/>
    <col width="7" customWidth="1" style="24" min="8" max="8"/>
    <col width="22" customWidth="1" style="24" min="9" max="9"/>
  </cols>
  <sheetData>
    <row r="1" ht="30" customHeight="1" s="24">
      <c r="A1" s="31" t="inlineStr">
        <is>
          <t>시편 말씀 액자 · 구절 입력    │    채우실 곳은 D열(출처)과 E열(본문) 두 칸입니다    │    G열이 빨간 「너무 김」이면 다른 절로 바꿔 주세요</t>
        </is>
      </c>
    </row>
    <row r="3" ht="26" customHeight="1" s="24">
      <c r="A3" s="11" t="inlineStr">
        <is>
          <t>순번</t>
        </is>
      </c>
      <c r="B3" s="11" t="inlineStr">
        <is>
          <t>열리는 날</t>
        </is>
      </c>
      <c r="C3" s="11" t="inlineStr">
        <is>
          <t>요일</t>
        </is>
      </c>
      <c r="D3" s="12" t="inlineStr">
        <is>
          <t>출처</t>
        </is>
      </c>
      <c r="E3" s="12" t="inlineStr">
        <is>
          <t>개역개정 본문</t>
        </is>
      </c>
      <c r="F3" s="11" t="inlineStr">
        <is>
          <t>길이</t>
        </is>
      </c>
      <c r="G3" s="11" t="inlineStr">
        <is>
          <t>판정</t>
        </is>
      </c>
      <c r="H3" s="11" t="inlineStr">
        <is>
          <t>액자</t>
        </is>
      </c>
      <c r="I3" s="11" t="inlineStr">
        <is>
          <t>비고</t>
        </is>
      </c>
    </row>
    <row r="4" ht="33.75" customHeight="1" s="24">
      <c r="A4" s="13" t="n">
        <v>1</v>
      </c>
      <c r="B4" s="13" t="inlineStr">
        <is>
          <t>2026-09-21</t>
        </is>
      </c>
      <c r="C4" s="13" t="inlineStr">
        <is>
          <t>월</t>
        </is>
      </c>
      <c r="D4" s="14" t="inlineStr">
        <is>
          <t>시편 1편 1절</t>
        </is>
      </c>
      <c r="E4" s="15" t="inlineStr">
        <is>
          <t>복 있는 사람은 악인들의 꾀를 따르지 아니하며 죄인들의 길에 서지 아니하며 오만한 자들의 자리에 앉지 아니하고</t>
        </is>
      </c>
      <c r="F4" s="16">
        <f>IF($E4="","",LEN(SUBSTITUTE($E4," ",""))+LEN(TRIM($E4))-LEN(SUBSTITUTE(TRIM($E4)," ",""))+1)</f>
        <v/>
      </c>
      <c r="G4" s="16">
        <f>IF($F4="","",IF($F4&gt;76,"너무 김",IF($F4&lt;30,"짧음","좋음")))</f>
        <v/>
      </c>
      <c r="H4" s="16" t="n"/>
      <c r="I4" s="17" t="n"/>
    </row>
    <row r="5">
      <c r="A5" s="13" t="n">
        <v>2</v>
      </c>
      <c r="B5" s="13" t="inlineStr">
        <is>
          <t>2026-09-22</t>
        </is>
      </c>
      <c r="C5" s="13" t="inlineStr">
        <is>
          <t>화</t>
        </is>
      </c>
      <c r="D5" s="14" t="inlineStr">
        <is>
          <t>시편 1편 2절</t>
        </is>
      </c>
      <c r="E5" s="15" t="inlineStr">
        <is>
          <t>오직 여호와의 율법을 즐거워하여 그의 율법을 주야로 묵상하는도다</t>
        </is>
      </c>
      <c r="F5" s="16">
        <f>IF($E5="","",LEN(SUBSTITUTE($E5," ",""))+LEN(TRIM($E5))-LEN(SUBSTITUTE(TRIM($E5)," ",""))+1)</f>
        <v/>
      </c>
      <c r="G5" s="16">
        <f>IF($F5="","",IF($F5&gt;76,"너무 김",IF($F5&lt;30,"짧음","좋음")))</f>
        <v/>
      </c>
      <c r="H5" s="16" t="n"/>
      <c r="I5" s="17" t="n"/>
    </row>
    <row r="6" ht="33.75" customHeight="1" s="24">
      <c r="A6" s="13" t="n">
        <v>3</v>
      </c>
      <c r="B6" s="13" t="inlineStr">
        <is>
          <t>2026-09-23</t>
        </is>
      </c>
      <c r="C6" s="13" t="inlineStr">
        <is>
          <t>수</t>
        </is>
      </c>
      <c r="D6" s="14" t="inlineStr">
        <is>
          <t>시편 1편 3절</t>
        </is>
      </c>
      <c r="E6" s="15" t="inlineStr">
        <is>
          <t>그는 시냇가에 심은 나무가 철을 따라 열매를 맺으며 그 잎사귀가 마르지 아니함 같으니 그가 하는 모든 일이 다 형통하리로다</t>
        </is>
      </c>
      <c r="F6" s="16">
        <f>IF($E6="","",LEN(SUBSTITUTE($E6," ",""))+LEN(TRIM($E6))-LEN(SUBSTITUTE(TRIM($E6)," ",""))+1)</f>
        <v/>
      </c>
      <c r="G6" s="16">
        <f>IF($F6="","",IF($F6&gt;76,"너무 김",IF($F6&lt;30,"짧음","좋음")))</f>
        <v/>
      </c>
      <c r="H6" s="16" t="n"/>
      <c r="I6" s="17" t="n"/>
    </row>
    <row r="7">
      <c r="A7" s="13" t="n">
        <v>4</v>
      </c>
      <c r="B7" s="13" t="inlineStr">
        <is>
          <t>2026-09-24</t>
        </is>
      </c>
      <c r="C7" s="13" t="inlineStr">
        <is>
          <t>목</t>
        </is>
      </c>
      <c r="D7" s="14" t="inlineStr">
        <is>
          <t>시편 3편 3절</t>
        </is>
      </c>
      <c r="E7" s="15" t="inlineStr">
        <is>
          <t>여호와여 주는 나의 방패시요 나의 영광이시요 나의 머리를 드시는 자이시니이다</t>
        </is>
      </c>
      <c r="F7" s="16">
        <f>IF($E7="","",LEN(SUBSTITUTE($E7," ",""))+LEN(TRIM($E7))-LEN(SUBSTITUTE(TRIM($E7)," ",""))+1)</f>
        <v/>
      </c>
      <c r="G7" s="16">
        <f>IF($F7="","",IF($F7&gt;76,"너무 김",IF($F7&lt;30,"짧음","좋음")))</f>
        <v/>
      </c>
      <c r="H7" s="16" t="n"/>
      <c r="I7" s="17" t="n"/>
    </row>
    <row r="8">
      <c r="A8" s="13" t="n">
        <v>5</v>
      </c>
      <c r="B8" s="13" t="inlineStr">
        <is>
          <t>2026-09-25</t>
        </is>
      </c>
      <c r="C8" s="13" t="inlineStr">
        <is>
          <t>금</t>
        </is>
      </c>
      <c r="D8" s="14" t="inlineStr">
        <is>
          <t>시편 3편 6절</t>
        </is>
      </c>
      <c r="E8" s="15" t="inlineStr">
        <is>
          <t>천만인이 나를 에워싸 진 친다 하여도 나는 두려워하지 아니하리이다</t>
        </is>
      </c>
      <c r="F8" s="16">
        <f>IF($E8="","",LEN(SUBSTITUTE($E8," ",""))+LEN(TRIM($E8))-LEN(SUBSTITUTE(TRIM($E8)," ",""))+1)</f>
        <v/>
      </c>
      <c r="G8" s="16">
        <f>IF($F8="","",IF($F8&gt;76,"너무 김",IF($F8&lt;30,"짧음","좋음")))</f>
        <v/>
      </c>
      <c r="H8" s="16" t="n"/>
      <c r="I8" s="17" t="n"/>
    </row>
    <row r="9">
      <c r="A9" s="13" t="n">
        <v>6</v>
      </c>
      <c r="B9" s="13" t="inlineStr">
        <is>
          <t>2026-09-26</t>
        </is>
      </c>
      <c r="C9" s="13" t="inlineStr">
        <is>
          <t>토</t>
        </is>
      </c>
      <c r="D9" s="14" t="inlineStr">
        <is>
          <t>시편 4편 7절</t>
        </is>
      </c>
      <c r="E9" s="15" t="inlineStr">
        <is>
          <t>주께서 내 마음에 두신 기쁨은 그들의 곡식과 새 포도주가 풍성할 때보다 더하니이다</t>
        </is>
      </c>
      <c r="F9" s="16">
        <f>IF($E9="","",LEN(SUBSTITUTE($E9," ",""))+LEN(TRIM($E9))-LEN(SUBSTITUTE(TRIM($E9)," ",""))+1)</f>
        <v/>
      </c>
      <c r="G9" s="16">
        <f>IF($F9="","",IF($F9&gt;76,"너무 김",IF($F9&lt;30,"짧음","좋음")))</f>
        <v/>
      </c>
      <c r="H9" s="16" t="n"/>
      <c r="I9" s="17" t="inlineStr">
        <is>
          <t>출처 정정 2026-09-10: 「시편 3편 7절」→「시편 4편 7절」. 본문은 그대로(대한성서공회 개역개정 대조)</t>
        </is>
      </c>
    </row>
    <row r="10">
      <c r="A10" s="13" t="n">
        <v>7</v>
      </c>
      <c r="B10" s="18" t="inlineStr">
        <is>
          <t>2026-09-27</t>
        </is>
      </c>
      <c r="C10" s="19" t="inlineStr">
        <is>
          <t>일</t>
        </is>
      </c>
      <c r="D10" s="14" t="inlineStr">
        <is>
          <t>시편 5편 12절</t>
        </is>
      </c>
      <c r="E10" s="15" t="inlineStr">
        <is>
          <t>여호와여 주는 의인에게 복을 주시고 방패로 함 같이 은혜로 그를 호위하시리이다</t>
        </is>
      </c>
      <c r="F10" s="16">
        <f>IF($E10="","",LEN(SUBSTITUTE($E10," ",""))+LEN(TRIM($E10))-LEN(SUBSTITUTE(TRIM($E10)," ",""))+1)</f>
        <v/>
      </c>
      <c r="G10" s="16">
        <f>IF($F10="","",IF($F10&gt;76,"너무 김",IF($F10&lt;30,"짧음","좋음")))</f>
        <v/>
      </c>
      <c r="H10" s="16" t="n"/>
      <c r="I10" s="17" t="n"/>
    </row>
    <row r="11">
      <c r="A11" s="13" t="n">
        <v>8</v>
      </c>
      <c r="B11" s="13" t="inlineStr">
        <is>
          <t>2026-09-28</t>
        </is>
      </c>
      <c r="C11" s="13" t="inlineStr">
        <is>
          <t>월</t>
        </is>
      </c>
      <c r="D11" s="14" t="inlineStr">
        <is>
          <t>시편 7편 17절</t>
        </is>
      </c>
      <c r="E11" s="15" t="inlineStr">
        <is>
          <t>내가 여호와께 그의 의를 따라 감사함이여 지존하신 여호와의 이름을 찬양하리로다</t>
        </is>
      </c>
      <c r="F11" s="16">
        <f>IF($E11="","",LEN(SUBSTITUTE($E11," ",""))+LEN(TRIM($E11))-LEN(SUBSTITUTE(TRIM($E11)," ",""))+1)</f>
        <v/>
      </c>
      <c r="G11" s="16">
        <f>IF($F11="","",IF($F11&gt;76,"너무 김",IF($F11&lt;30,"짧음","좋음")))</f>
        <v/>
      </c>
      <c r="H11" s="16" t="n"/>
      <c r="I11" s="17" t="n"/>
    </row>
    <row r="12">
      <c r="A12" s="13" t="n">
        <v>9</v>
      </c>
      <c r="B12" s="13" t="inlineStr">
        <is>
          <t>2026-09-29</t>
        </is>
      </c>
      <c r="C12" s="13" t="inlineStr">
        <is>
          <t>화</t>
        </is>
      </c>
      <c r="D12" s="14" t="inlineStr">
        <is>
          <t>시편 8편 1절</t>
        </is>
      </c>
      <c r="E12" s="15" t="inlineStr">
        <is>
          <t>여호와 우리 주여 주의 이름이 온 땅에 어찌 그리 아름다운지요</t>
        </is>
      </c>
      <c r="F12" s="16">
        <f>IF($E12="","",LEN(SUBSTITUTE($E12," ",""))+LEN(TRIM($E12))-LEN(SUBSTITUTE(TRIM($E12)," ",""))+1)</f>
        <v/>
      </c>
      <c r="G12" s="16">
        <f>IF($F12="","",IF($F12&gt;76,"너무 김",IF($F12&lt;30,"짧음","좋음")))</f>
        <v/>
      </c>
      <c r="H12" s="16" t="n"/>
      <c r="I12" s="17" t="n"/>
    </row>
    <row r="13">
      <c r="A13" s="13" t="n">
        <v>10</v>
      </c>
      <c r="B13" s="13" t="inlineStr">
        <is>
          <t>2026-09-30</t>
        </is>
      </c>
      <c r="C13" s="13" t="inlineStr">
        <is>
          <t>수</t>
        </is>
      </c>
      <c r="D13" s="14" t="inlineStr">
        <is>
          <t>시편 11편 7절</t>
        </is>
      </c>
      <c r="E13" s="15" t="inlineStr">
        <is>
          <t>여호와는 의로우사 의로운 일을 좋아하시나니 정직한 자는 그의 얼굴을 뵈오리로다</t>
        </is>
      </c>
      <c r="F13" s="16">
        <f>IF($E13="","",LEN(SUBSTITUTE($E13," ",""))+LEN(TRIM($E13))-LEN(SUBSTITUTE(TRIM($E13)," ",""))+1)</f>
        <v/>
      </c>
      <c r="G13" s="16">
        <f>IF($F13="","",IF($F13&gt;76,"너무 김",IF($F13&lt;30,"짧음","좋음")))</f>
        <v/>
      </c>
      <c r="H13" s="16" t="n"/>
      <c r="I13" s="17" t="n"/>
    </row>
    <row r="14">
      <c r="A14" s="13" t="n">
        <v>11</v>
      </c>
      <c r="B14" s="13" t="inlineStr">
        <is>
          <t>2026-10-01</t>
        </is>
      </c>
      <c r="C14" s="13" t="inlineStr">
        <is>
          <t>목</t>
        </is>
      </c>
      <c r="D14" s="14" t="n"/>
      <c r="E14" s="15" t="n"/>
      <c r="F14" s="16">
        <f>IF($E14="","",LEN(SUBSTITUTE($E14," ",""))+LEN(TRIM($E14))-LEN(SUBSTITUTE(TRIM($E14)," ",""))+1)</f>
        <v/>
      </c>
      <c r="G14" s="16">
        <f>IF($F14="","",IF($F14&gt;76,"너무 김",IF($F14&lt;30,"짧음","좋음")))</f>
        <v/>
      </c>
      <c r="H14" s="16" t="n"/>
      <c r="I14" s="17" t="n"/>
    </row>
    <row r="15">
      <c r="A15" s="13" t="n">
        <v>12</v>
      </c>
      <c r="B15" s="13" t="inlineStr">
        <is>
          <t>2026-10-02</t>
        </is>
      </c>
      <c r="C15" s="13" t="inlineStr">
        <is>
          <t>금</t>
        </is>
      </c>
      <c r="D15" s="14" t="n"/>
      <c r="E15" s="15" t="n"/>
      <c r="F15" s="16">
        <f>IF($E15="","",LEN(SUBSTITUTE($E15," ",""))+LEN(TRIM($E15))-LEN(SUBSTITUTE(TRIM($E15)," ",""))+1)</f>
        <v/>
      </c>
      <c r="G15" s="16">
        <f>IF($F15="","",IF($F15&gt;76,"너무 김",IF($F15&lt;30,"짧음","좋음")))</f>
        <v/>
      </c>
      <c r="H15" s="16" t="n"/>
      <c r="I15" s="17" t="n"/>
    </row>
    <row r="16">
      <c r="A16" s="13" t="n">
        <v>13</v>
      </c>
      <c r="B16" s="13" t="inlineStr">
        <is>
          <t>2026-10-03</t>
        </is>
      </c>
      <c r="C16" s="13" t="inlineStr">
        <is>
          <t>토</t>
        </is>
      </c>
      <c r="D16" s="14" t="n"/>
      <c r="E16" s="15" t="n"/>
      <c r="F16" s="16">
        <f>IF($E16="","",LEN(SUBSTITUTE($E16," ",""))+LEN(TRIM($E16))-LEN(SUBSTITUTE(TRIM($E16)," ",""))+1)</f>
        <v/>
      </c>
      <c r="G16" s="16">
        <f>IF($F16="","",IF($F16&gt;76,"너무 김",IF($F16&lt;30,"짧음","좋음")))</f>
        <v/>
      </c>
      <c r="H16" s="16" t="n"/>
      <c r="I16" s="17" t="n"/>
    </row>
    <row r="17">
      <c r="A17" s="13" t="n">
        <v>14</v>
      </c>
      <c r="B17" s="18" t="inlineStr">
        <is>
          <t>2026-10-04</t>
        </is>
      </c>
      <c r="C17" s="19" t="inlineStr">
        <is>
          <t>일</t>
        </is>
      </c>
      <c r="D17" s="14" t="n"/>
      <c r="E17" s="15" t="n"/>
      <c r="F17" s="16">
        <f>IF($E17="","",LEN(SUBSTITUTE($E17," ",""))+LEN(TRIM($E17))-LEN(SUBSTITUTE(TRIM($E17)," ",""))+1)</f>
        <v/>
      </c>
      <c r="G17" s="16">
        <f>IF($F17="","",IF($F17&gt;76,"너무 김",IF($F17&lt;30,"짧음","좋음")))</f>
        <v/>
      </c>
      <c r="H17" s="16" t="n"/>
      <c r="I17" s="17" t="n"/>
    </row>
    <row r="18">
      <c r="A18" s="13" t="n">
        <v>15</v>
      </c>
      <c r="B18" s="13" t="inlineStr">
        <is>
          <t>2026-10-05</t>
        </is>
      </c>
      <c r="C18" s="13" t="inlineStr">
        <is>
          <t>월</t>
        </is>
      </c>
      <c r="D18" s="14" t="n"/>
      <c r="E18" s="15" t="n"/>
      <c r="F18" s="16">
        <f>IF($E18="","",LEN(SUBSTITUTE($E18," ",""))+LEN(TRIM($E18))-LEN(SUBSTITUTE(TRIM($E18)," ",""))+1)</f>
        <v/>
      </c>
      <c r="G18" s="16">
        <f>IF($F18="","",IF($F18&gt;76,"너무 김",IF($F18&lt;30,"짧음","좋음")))</f>
        <v/>
      </c>
      <c r="H18" s="16" t="n"/>
      <c r="I18" s="17" t="n"/>
    </row>
    <row r="19">
      <c r="A19" s="13" t="n">
        <v>16</v>
      </c>
      <c r="B19" s="13" t="inlineStr">
        <is>
          <t>2026-10-06</t>
        </is>
      </c>
      <c r="C19" s="13" t="inlineStr">
        <is>
          <t>화</t>
        </is>
      </c>
      <c r="D19" s="14" t="n"/>
      <c r="E19" s="15" t="n"/>
      <c r="F19" s="16">
        <f>IF($E19="","",LEN(SUBSTITUTE($E19," ",""))+LEN(TRIM($E19))-LEN(SUBSTITUTE(TRIM($E19)," ",""))+1)</f>
        <v/>
      </c>
      <c r="G19" s="16">
        <f>IF($F19="","",IF($F19&gt;76,"너무 김",IF($F19&lt;30,"짧음","좋음")))</f>
        <v/>
      </c>
      <c r="H19" s="16" t="n"/>
      <c r="I19" s="17" t="n"/>
    </row>
    <row r="20">
      <c r="A20" s="13" t="n">
        <v>17</v>
      </c>
      <c r="B20" s="13" t="inlineStr">
        <is>
          <t>2026-10-07</t>
        </is>
      </c>
      <c r="C20" s="13" t="inlineStr">
        <is>
          <t>수</t>
        </is>
      </c>
      <c r="D20" s="14" t="n"/>
      <c r="E20" s="15" t="n"/>
      <c r="F20" s="16">
        <f>IF($E20="","",LEN(SUBSTITUTE($E20," ",""))+LEN(TRIM($E20))-LEN(SUBSTITUTE(TRIM($E20)," ",""))+1)</f>
        <v/>
      </c>
      <c r="G20" s="16">
        <f>IF($F20="","",IF($F20&gt;76,"너무 김",IF($F20&lt;30,"짧음","좋음")))</f>
        <v/>
      </c>
      <c r="H20" s="16" t="n"/>
      <c r="I20" s="17" t="n"/>
    </row>
    <row r="21">
      <c r="A21" s="13" t="n">
        <v>18</v>
      </c>
      <c r="B21" s="13" t="inlineStr">
        <is>
          <t>2026-10-08</t>
        </is>
      </c>
      <c r="C21" s="13" t="inlineStr">
        <is>
          <t>목</t>
        </is>
      </c>
      <c r="D21" s="14" t="n"/>
      <c r="E21" s="15" t="n"/>
      <c r="F21" s="16">
        <f>IF($E21="","",LEN(SUBSTITUTE($E21," ",""))+LEN(TRIM($E21))-LEN(SUBSTITUTE(TRIM($E21)," ",""))+1)</f>
        <v/>
      </c>
      <c r="G21" s="16">
        <f>IF($F21="","",IF($F21&gt;76,"너무 김",IF($F21&lt;30,"짧음","좋음")))</f>
        <v/>
      </c>
      <c r="H21" s="16" t="n"/>
      <c r="I21" s="17" t="n"/>
    </row>
    <row r="22">
      <c r="A22" s="13" t="n">
        <v>19</v>
      </c>
      <c r="B22" s="13" t="inlineStr">
        <is>
          <t>2026-10-09</t>
        </is>
      </c>
      <c r="C22" s="13" t="inlineStr">
        <is>
          <t>금</t>
        </is>
      </c>
      <c r="D22" s="14" t="n"/>
      <c r="E22" s="15" t="n"/>
      <c r="F22" s="16">
        <f>IF($E22="","",LEN(SUBSTITUTE($E22," ",""))+LEN(TRIM($E22))-LEN(SUBSTITUTE(TRIM($E22)," ",""))+1)</f>
        <v/>
      </c>
      <c r="G22" s="16">
        <f>IF($F22="","",IF($F22&gt;76,"너무 김",IF($F22&lt;30,"짧음","좋음")))</f>
        <v/>
      </c>
      <c r="H22" s="16" t="n"/>
      <c r="I22" s="17" t="n"/>
    </row>
    <row r="23">
      <c r="A23" s="13" t="n">
        <v>20</v>
      </c>
      <c r="B23" s="13" t="inlineStr">
        <is>
          <t>2026-10-10</t>
        </is>
      </c>
      <c r="C23" s="13" t="inlineStr">
        <is>
          <t>토</t>
        </is>
      </c>
      <c r="D23" s="14" t="n"/>
      <c r="E23" s="15" t="n"/>
      <c r="F23" s="16">
        <f>IF($E23="","",LEN(SUBSTITUTE($E23," ",""))+LEN(TRIM($E23))-LEN(SUBSTITUTE(TRIM($E23)," ",""))+1)</f>
        <v/>
      </c>
      <c r="G23" s="16">
        <f>IF($F23="","",IF($F23&gt;76,"너무 김",IF($F23&lt;30,"짧음","좋음")))</f>
        <v/>
      </c>
      <c r="H23" s="16" t="n"/>
      <c r="I23" s="17" t="n"/>
    </row>
    <row r="24">
      <c r="A24" s="13" t="n">
        <v>21</v>
      </c>
      <c r="B24" s="18" t="inlineStr">
        <is>
          <t>2026-10-11</t>
        </is>
      </c>
      <c r="C24" s="19" t="inlineStr">
        <is>
          <t>일</t>
        </is>
      </c>
      <c r="D24" s="14" t="n"/>
      <c r="E24" s="15" t="n"/>
      <c r="F24" s="16">
        <f>IF($E24="","",LEN(SUBSTITUTE($E24," ",""))+LEN(TRIM($E24))-LEN(SUBSTITUTE(TRIM($E24)," ",""))+1)</f>
        <v/>
      </c>
      <c r="G24" s="16">
        <f>IF($F24="","",IF($F24&gt;76,"너무 김",IF($F24&lt;30,"짧음","좋음")))</f>
        <v/>
      </c>
      <c r="H24" s="16" t="n"/>
      <c r="I24" s="17" t="n"/>
    </row>
    <row r="25">
      <c r="A25" s="13" t="n">
        <v>22</v>
      </c>
      <c r="B25" s="13" t="inlineStr">
        <is>
          <t>2026-10-12</t>
        </is>
      </c>
      <c r="C25" s="13" t="inlineStr">
        <is>
          <t>월</t>
        </is>
      </c>
      <c r="D25" s="14" t="n"/>
      <c r="E25" s="15" t="n"/>
      <c r="F25" s="16">
        <f>IF($E25="","",LEN(SUBSTITUTE($E25," ",""))+LEN(TRIM($E25))-LEN(SUBSTITUTE(TRIM($E25)," ",""))+1)</f>
        <v/>
      </c>
      <c r="G25" s="16">
        <f>IF($F25="","",IF($F25&gt;76,"너무 김",IF($F25&lt;30,"짧음","좋음")))</f>
        <v/>
      </c>
      <c r="H25" s="16" t="n"/>
      <c r="I25" s="17" t="n"/>
    </row>
    <row r="26">
      <c r="A26" s="13" t="n">
        <v>23</v>
      </c>
      <c r="B26" s="13" t="inlineStr">
        <is>
          <t>2026-10-13</t>
        </is>
      </c>
      <c r="C26" s="13" t="inlineStr">
        <is>
          <t>화</t>
        </is>
      </c>
      <c r="D26" s="14" t="n"/>
      <c r="E26" s="15" t="n"/>
      <c r="F26" s="16">
        <f>IF($E26="","",LEN(SUBSTITUTE($E26," ",""))+LEN(TRIM($E26))-LEN(SUBSTITUTE(TRIM($E26)," ",""))+1)</f>
        <v/>
      </c>
      <c r="G26" s="16">
        <f>IF($F26="","",IF($F26&gt;76,"너무 김",IF($F26&lt;30,"짧음","좋음")))</f>
        <v/>
      </c>
      <c r="H26" s="16" t="n"/>
      <c r="I26" s="17" t="n"/>
    </row>
    <row r="27">
      <c r="A27" s="13" t="n">
        <v>24</v>
      </c>
      <c r="B27" s="13" t="inlineStr">
        <is>
          <t>2026-10-14</t>
        </is>
      </c>
      <c r="C27" s="13" t="inlineStr">
        <is>
          <t>수</t>
        </is>
      </c>
      <c r="D27" s="14" t="n"/>
      <c r="E27" s="15" t="n"/>
      <c r="F27" s="16">
        <f>IF($E27="","",LEN(SUBSTITUTE($E27," ",""))+LEN(TRIM($E27))-LEN(SUBSTITUTE(TRIM($E27)," ",""))+1)</f>
        <v/>
      </c>
      <c r="G27" s="16">
        <f>IF($F27="","",IF($F27&gt;76,"너무 김",IF($F27&lt;30,"짧음","좋음")))</f>
        <v/>
      </c>
      <c r="H27" s="16" t="n"/>
      <c r="I27" s="17" t="n"/>
    </row>
    <row r="28">
      <c r="A28" s="13" t="n">
        <v>25</v>
      </c>
      <c r="B28" s="13" t="inlineStr">
        <is>
          <t>2026-10-15</t>
        </is>
      </c>
      <c r="C28" s="13" t="inlineStr">
        <is>
          <t>목</t>
        </is>
      </c>
      <c r="D28" s="14" t="n"/>
      <c r="E28" s="15" t="n"/>
      <c r="F28" s="16">
        <f>IF($E28="","",LEN(SUBSTITUTE($E28," ",""))+LEN(TRIM($E28))-LEN(SUBSTITUTE(TRIM($E28)," ",""))+1)</f>
        <v/>
      </c>
      <c r="G28" s="16">
        <f>IF($F28="","",IF($F28&gt;76,"너무 김",IF($F28&lt;30,"짧음","좋음")))</f>
        <v/>
      </c>
      <c r="H28" s="16" t="n"/>
      <c r="I28" s="17" t="n"/>
    </row>
    <row r="29">
      <c r="A29" s="13" t="n">
        <v>26</v>
      </c>
      <c r="B29" s="13" t="inlineStr">
        <is>
          <t>2026-10-16</t>
        </is>
      </c>
      <c r="C29" s="13" t="inlineStr">
        <is>
          <t>금</t>
        </is>
      </c>
      <c r="D29" s="14" t="n"/>
      <c r="E29" s="15" t="n"/>
      <c r="F29" s="16">
        <f>IF($E29="","",LEN(SUBSTITUTE($E29," ",""))+LEN(TRIM($E29))-LEN(SUBSTITUTE(TRIM($E29)," ",""))+1)</f>
        <v/>
      </c>
      <c r="G29" s="16">
        <f>IF($F29="","",IF($F29&gt;76,"너무 김",IF($F29&lt;30,"짧음","좋음")))</f>
        <v/>
      </c>
      <c r="H29" s="16" t="n"/>
      <c r="I29" s="17" t="n"/>
    </row>
    <row r="30">
      <c r="A30" s="13" t="n">
        <v>27</v>
      </c>
      <c r="B30" s="13" t="inlineStr">
        <is>
          <t>2026-10-17</t>
        </is>
      </c>
      <c r="C30" s="13" t="inlineStr">
        <is>
          <t>토</t>
        </is>
      </c>
      <c r="D30" s="14" t="n"/>
      <c r="E30" s="15" t="n"/>
      <c r="F30" s="16">
        <f>IF($E30="","",LEN(SUBSTITUTE($E30," ",""))+LEN(TRIM($E30))-LEN(SUBSTITUTE(TRIM($E30)," ",""))+1)</f>
        <v/>
      </c>
      <c r="G30" s="16">
        <f>IF($F30="","",IF($F30&gt;76,"너무 김",IF($F30&lt;30,"짧음","좋음")))</f>
        <v/>
      </c>
      <c r="H30" s="16" t="n"/>
      <c r="I30" s="17" t="n"/>
    </row>
    <row r="31">
      <c r="A31" s="13" t="n">
        <v>28</v>
      </c>
      <c r="B31" s="18" t="inlineStr">
        <is>
          <t>2026-10-18</t>
        </is>
      </c>
      <c r="C31" s="19" t="inlineStr">
        <is>
          <t>일</t>
        </is>
      </c>
      <c r="D31" s="14" t="n"/>
      <c r="E31" s="15" t="n"/>
      <c r="F31" s="16">
        <f>IF($E31="","",LEN(SUBSTITUTE($E31," ",""))+LEN(TRIM($E31))-LEN(SUBSTITUTE(TRIM($E31)," ",""))+1)</f>
        <v/>
      </c>
      <c r="G31" s="16">
        <f>IF($F31="","",IF($F31&gt;76,"너무 김",IF($F31&lt;30,"짧음","좋음")))</f>
        <v/>
      </c>
      <c r="H31" s="16" t="n"/>
      <c r="I31" s="17" t="n"/>
    </row>
    <row r="32">
      <c r="A32" s="13" t="n">
        <v>29</v>
      </c>
      <c r="B32" s="13" t="inlineStr">
        <is>
          <t>2026-10-19</t>
        </is>
      </c>
      <c r="C32" s="13" t="inlineStr">
        <is>
          <t>월</t>
        </is>
      </c>
      <c r="D32" s="14" t="n"/>
      <c r="E32" s="15" t="n"/>
      <c r="F32" s="16">
        <f>IF($E32="","",LEN(SUBSTITUTE($E32," ",""))+LEN(TRIM($E32))-LEN(SUBSTITUTE(TRIM($E32)," ",""))+1)</f>
        <v/>
      </c>
      <c r="G32" s="16">
        <f>IF($F32="","",IF($F32&gt;76,"너무 김",IF($F32&lt;30,"짧음","좋음")))</f>
        <v/>
      </c>
      <c r="H32" s="16" t="n"/>
      <c r="I32" s="17" t="n"/>
    </row>
    <row r="33">
      <c r="A33" s="13" t="n">
        <v>30</v>
      </c>
      <c r="B33" s="13" t="inlineStr">
        <is>
          <t>2026-10-20</t>
        </is>
      </c>
      <c r="C33" s="13" t="inlineStr">
        <is>
          <t>화</t>
        </is>
      </c>
      <c r="D33" s="14" t="n"/>
      <c r="E33" s="15" t="n"/>
      <c r="F33" s="16">
        <f>IF($E33="","",LEN(SUBSTITUTE($E33," ",""))+LEN(TRIM($E33))-LEN(SUBSTITUTE(TRIM($E33)," ",""))+1)</f>
        <v/>
      </c>
      <c r="G33" s="16">
        <f>IF($F33="","",IF($F33&gt;76,"너무 김",IF($F33&lt;30,"짧음","좋음")))</f>
        <v/>
      </c>
      <c r="H33" s="16" t="n"/>
      <c r="I33" s="17" t="n"/>
    </row>
    <row r="34">
      <c r="A34" s="13" t="n">
        <v>31</v>
      </c>
      <c r="B34" s="13" t="inlineStr">
        <is>
          <t>2026-10-21</t>
        </is>
      </c>
      <c r="C34" s="13" t="inlineStr">
        <is>
          <t>수</t>
        </is>
      </c>
      <c r="D34" s="14" t="n"/>
      <c r="E34" s="15" t="n"/>
      <c r="F34" s="16">
        <f>IF($E34="","",LEN(SUBSTITUTE($E34," ",""))+LEN(TRIM($E34))-LEN(SUBSTITUTE(TRIM($E34)," ",""))+1)</f>
        <v/>
      </c>
      <c r="G34" s="16">
        <f>IF($F34="","",IF($F34&gt;76,"너무 김",IF($F34&lt;30,"짧음","좋음")))</f>
        <v/>
      </c>
      <c r="H34" s="16" t="n"/>
      <c r="I34" s="17" t="n"/>
    </row>
    <row r="35">
      <c r="A35" s="13" t="n">
        <v>32</v>
      </c>
      <c r="B35" s="13" t="inlineStr">
        <is>
          <t>2026-10-22</t>
        </is>
      </c>
      <c r="C35" s="13" t="inlineStr">
        <is>
          <t>목</t>
        </is>
      </c>
      <c r="D35" s="14" t="n"/>
      <c r="E35" s="15" t="n"/>
      <c r="F35" s="16">
        <f>IF($E35="","",LEN(SUBSTITUTE($E35," ",""))+LEN(TRIM($E35))-LEN(SUBSTITUTE(TRIM($E35)," ",""))+1)</f>
        <v/>
      </c>
      <c r="G35" s="16">
        <f>IF($F35="","",IF($F35&gt;76,"너무 김",IF($F35&lt;30,"짧음","좋음")))</f>
        <v/>
      </c>
      <c r="H35" s="16" t="n"/>
      <c r="I35" s="17" t="n"/>
    </row>
    <row r="36">
      <c r="A36" s="13" t="n">
        <v>33</v>
      </c>
      <c r="B36" s="13" t="inlineStr">
        <is>
          <t>2026-10-23</t>
        </is>
      </c>
      <c r="C36" s="13" t="inlineStr">
        <is>
          <t>금</t>
        </is>
      </c>
      <c r="D36" s="14" t="n"/>
      <c r="E36" s="15" t="n"/>
      <c r="F36" s="16">
        <f>IF($E36="","",LEN(SUBSTITUTE($E36," ",""))+LEN(TRIM($E36))-LEN(SUBSTITUTE(TRIM($E36)," ",""))+1)</f>
        <v/>
      </c>
      <c r="G36" s="16">
        <f>IF($F36="","",IF($F36&gt;76,"너무 김",IF($F36&lt;30,"짧음","좋음")))</f>
        <v/>
      </c>
      <c r="H36" s="16" t="n"/>
      <c r="I36" s="17" t="n"/>
    </row>
    <row r="37">
      <c r="A37" s="13" t="n">
        <v>34</v>
      </c>
      <c r="B37" s="13" t="inlineStr">
        <is>
          <t>2026-10-24</t>
        </is>
      </c>
      <c r="C37" s="13" t="inlineStr">
        <is>
          <t>토</t>
        </is>
      </c>
      <c r="D37" s="14" t="n"/>
      <c r="E37" s="15" t="n"/>
      <c r="F37" s="16">
        <f>IF($E37="","",LEN(SUBSTITUTE($E37," ",""))+LEN(TRIM($E37))-LEN(SUBSTITUTE(TRIM($E37)," ",""))+1)</f>
        <v/>
      </c>
      <c r="G37" s="16">
        <f>IF($F37="","",IF($F37&gt;76,"너무 김",IF($F37&lt;30,"짧음","좋음")))</f>
        <v/>
      </c>
      <c r="H37" s="16" t="n"/>
      <c r="I37" s="17" t="n"/>
    </row>
    <row r="38">
      <c r="A38" s="13" t="n">
        <v>35</v>
      </c>
      <c r="B38" s="18" t="inlineStr">
        <is>
          <t>2026-10-25</t>
        </is>
      </c>
      <c r="C38" s="19" t="inlineStr">
        <is>
          <t>일</t>
        </is>
      </c>
      <c r="D38" s="14" t="n"/>
      <c r="E38" s="15" t="n"/>
      <c r="F38" s="16">
        <f>IF($E38="","",LEN(SUBSTITUTE($E38," ",""))+LEN(TRIM($E38))-LEN(SUBSTITUTE(TRIM($E38)," ",""))+1)</f>
        <v/>
      </c>
      <c r="G38" s="16">
        <f>IF($F38="","",IF($F38&gt;76,"너무 김",IF($F38&lt;30,"짧음","좋음")))</f>
        <v/>
      </c>
      <c r="H38" s="16" t="n"/>
      <c r="I38" s="17" t="n"/>
    </row>
    <row r="39">
      <c r="A39" s="13" t="n">
        <v>36</v>
      </c>
      <c r="B39" s="13" t="inlineStr">
        <is>
          <t>2026-10-26</t>
        </is>
      </c>
      <c r="C39" s="13" t="inlineStr">
        <is>
          <t>월</t>
        </is>
      </c>
      <c r="D39" s="14" t="n"/>
      <c r="E39" s="15" t="n"/>
      <c r="F39" s="16">
        <f>IF($E39="","",LEN(SUBSTITUTE($E39," ",""))+LEN(TRIM($E39))-LEN(SUBSTITUTE(TRIM($E39)," ",""))+1)</f>
        <v/>
      </c>
      <c r="G39" s="16">
        <f>IF($F39="","",IF($F39&gt;76,"너무 김",IF($F39&lt;30,"짧음","좋음")))</f>
        <v/>
      </c>
      <c r="H39" s="16" t="n"/>
      <c r="I39" s="17" t="n"/>
    </row>
    <row r="40">
      <c r="A40" s="13" t="n">
        <v>37</v>
      </c>
      <c r="B40" s="13" t="inlineStr">
        <is>
          <t>2026-10-27</t>
        </is>
      </c>
      <c r="C40" s="13" t="inlineStr">
        <is>
          <t>화</t>
        </is>
      </c>
      <c r="D40" s="14" t="n"/>
      <c r="E40" s="15" t="n"/>
      <c r="F40" s="16">
        <f>IF($E40="","",LEN(SUBSTITUTE($E40," ",""))+LEN(TRIM($E40))-LEN(SUBSTITUTE(TRIM($E40)," ",""))+1)</f>
        <v/>
      </c>
      <c r="G40" s="16">
        <f>IF($F40="","",IF($F40&gt;76,"너무 김",IF($F40&lt;30,"짧음","좋음")))</f>
        <v/>
      </c>
      <c r="H40" s="16" t="n"/>
      <c r="I40" s="17" t="n"/>
    </row>
    <row r="41">
      <c r="A41" s="13" t="n">
        <v>38</v>
      </c>
      <c r="B41" s="13" t="inlineStr">
        <is>
          <t>2026-10-28</t>
        </is>
      </c>
      <c r="C41" s="13" t="inlineStr">
        <is>
          <t>수</t>
        </is>
      </c>
      <c r="D41" s="14" t="n"/>
      <c r="E41" s="15" t="n"/>
      <c r="F41" s="16">
        <f>IF($E41="","",LEN(SUBSTITUTE($E41," ",""))+LEN(TRIM($E41))-LEN(SUBSTITUTE(TRIM($E41)," ",""))+1)</f>
        <v/>
      </c>
      <c r="G41" s="16">
        <f>IF($F41="","",IF($F41&gt;76,"너무 김",IF($F41&lt;30,"짧음","좋음")))</f>
        <v/>
      </c>
      <c r="H41" s="16" t="n"/>
      <c r="I41" s="17" t="n"/>
    </row>
    <row r="42">
      <c r="A42" s="13" t="n">
        <v>39</v>
      </c>
      <c r="B42" s="13" t="inlineStr">
        <is>
          <t>2026-10-29</t>
        </is>
      </c>
      <c r="C42" s="13" t="inlineStr">
        <is>
          <t>목</t>
        </is>
      </c>
      <c r="D42" s="14" t="n"/>
      <c r="E42" s="15" t="n"/>
      <c r="F42" s="16">
        <f>IF($E42="","",LEN(SUBSTITUTE($E42," ",""))+LEN(TRIM($E42))-LEN(SUBSTITUTE(TRIM($E42)," ",""))+1)</f>
        <v/>
      </c>
      <c r="G42" s="16">
        <f>IF($F42="","",IF($F42&gt;76,"너무 김",IF($F42&lt;30,"짧음","좋음")))</f>
        <v/>
      </c>
      <c r="H42" s="16" t="n"/>
      <c r="I42" s="17" t="n"/>
    </row>
    <row r="43">
      <c r="A43" s="13" t="n">
        <v>40</v>
      </c>
      <c r="B43" s="13" t="inlineStr">
        <is>
          <t>2026-10-30</t>
        </is>
      </c>
      <c r="C43" s="13" t="inlineStr">
        <is>
          <t>금</t>
        </is>
      </c>
      <c r="D43" s="14" t="n"/>
      <c r="E43" s="15" t="n"/>
      <c r="F43" s="16">
        <f>IF($E43="","",LEN(SUBSTITUTE($E43," ",""))+LEN(TRIM($E43))-LEN(SUBSTITUTE(TRIM($E43)," ",""))+1)</f>
        <v/>
      </c>
      <c r="G43" s="16">
        <f>IF($F43="","",IF($F43&gt;76,"너무 김",IF($F43&lt;30,"짧음","좋음")))</f>
        <v/>
      </c>
      <c r="H43" s="16" t="n"/>
      <c r="I43" s="17" t="n"/>
    </row>
    <row r="44">
      <c r="A44" s="13" t="n">
        <v>41</v>
      </c>
      <c r="B44" s="13" t="inlineStr">
        <is>
          <t>2026-10-31</t>
        </is>
      </c>
      <c r="C44" s="13" t="inlineStr">
        <is>
          <t>토</t>
        </is>
      </c>
      <c r="D44" s="14" t="n"/>
      <c r="E44" s="15" t="n"/>
      <c r="F44" s="16">
        <f>IF($E44="","",LEN(SUBSTITUTE($E44," ",""))+LEN(TRIM($E44))-LEN(SUBSTITUTE(TRIM($E44)," ",""))+1)</f>
        <v/>
      </c>
      <c r="G44" s="16">
        <f>IF($F44="","",IF($F44&gt;76,"너무 김",IF($F44&lt;30,"짧음","좋음")))</f>
        <v/>
      </c>
      <c r="H44" s="16" t="n"/>
      <c r="I44" s="17" t="n"/>
    </row>
    <row r="45">
      <c r="A45" s="13" t="n">
        <v>42</v>
      </c>
      <c r="B45" s="18" t="inlineStr">
        <is>
          <t>2026-11-01</t>
        </is>
      </c>
      <c r="C45" s="19" t="inlineStr">
        <is>
          <t>일</t>
        </is>
      </c>
      <c r="D45" s="14" t="n"/>
      <c r="E45" s="15" t="n"/>
      <c r="F45" s="16">
        <f>IF($E45="","",LEN(SUBSTITUTE($E45," ",""))+LEN(TRIM($E45))-LEN(SUBSTITUTE(TRIM($E45)," ",""))+1)</f>
        <v/>
      </c>
      <c r="G45" s="16">
        <f>IF($F45="","",IF($F45&gt;76,"너무 김",IF($F45&lt;30,"짧음","좋음")))</f>
        <v/>
      </c>
      <c r="H45" s="16" t="n"/>
      <c r="I45" s="17" t="n"/>
    </row>
    <row r="46">
      <c r="A46" s="13" t="n">
        <v>43</v>
      </c>
      <c r="B46" s="13" t="inlineStr">
        <is>
          <t>2026-11-02</t>
        </is>
      </c>
      <c r="C46" s="13" t="inlineStr">
        <is>
          <t>월</t>
        </is>
      </c>
      <c r="D46" s="14" t="n"/>
      <c r="E46" s="15" t="n"/>
      <c r="F46" s="16">
        <f>IF($E46="","",LEN(SUBSTITUTE($E46," ",""))+LEN(TRIM($E46))-LEN(SUBSTITUTE(TRIM($E46)," ",""))+1)</f>
        <v/>
      </c>
      <c r="G46" s="16">
        <f>IF($F46="","",IF($F46&gt;76,"너무 김",IF($F46&lt;30,"짧음","좋음")))</f>
        <v/>
      </c>
      <c r="H46" s="16" t="n"/>
      <c r="I46" s="17" t="n"/>
    </row>
    <row r="47">
      <c r="A47" s="13" t="n">
        <v>44</v>
      </c>
      <c r="B47" s="13" t="inlineStr">
        <is>
          <t>2026-11-03</t>
        </is>
      </c>
      <c r="C47" s="13" t="inlineStr">
        <is>
          <t>화</t>
        </is>
      </c>
      <c r="D47" s="14" t="n"/>
      <c r="E47" s="15" t="n"/>
      <c r="F47" s="16">
        <f>IF($E47="","",LEN(SUBSTITUTE($E47," ",""))+LEN(TRIM($E47))-LEN(SUBSTITUTE(TRIM($E47)," ",""))+1)</f>
        <v/>
      </c>
      <c r="G47" s="16">
        <f>IF($F47="","",IF($F47&gt;76,"너무 김",IF($F47&lt;30,"짧음","좋음")))</f>
        <v/>
      </c>
      <c r="H47" s="16" t="n"/>
      <c r="I47" s="17" t="n"/>
    </row>
    <row r="48">
      <c r="A48" s="13" t="n">
        <v>45</v>
      </c>
      <c r="B48" s="13" t="inlineStr">
        <is>
          <t>2026-11-04</t>
        </is>
      </c>
      <c r="C48" s="13" t="inlineStr">
        <is>
          <t>수</t>
        </is>
      </c>
      <c r="D48" s="14" t="n"/>
      <c r="E48" s="15" t="n"/>
      <c r="F48" s="16">
        <f>IF($E48="","",LEN(SUBSTITUTE($E48," ",""))+LEN(TRIM($E48))-LEN(SUBSTITUTE(TRIM($E48)," ",""))+1)</f>
        <v/>
      </c>
      <c r="G48" s="16">
        <f>IF($F48="","",IF($F48&gt;76,"너무 김",IF($F48&lt;30,"짧음","좋음")))</f>
        <v/>
      </c>
      <c r="H48" s="16" t="n"/>
      <c r="I48" s="17" t="n"/>
    </row>
    <row r="49">
      <c r="A49" s="13" t="n">
        <v>46</v>
      </c>
      <c r="B49" s="13" t="inlineStr">
        <is>
          <t>2026-11-05</t>
        </is>
      </c>
      <c r="C49" s="13" t="inlineStr">
        <is>
          <t>목</t>
        </is>
      </c>
      <c r="D49" s="14" t="n"/>
      <c r="E49" s="15" t="n"/>
      <c r="F49" s="16">
        <f>IF($E49="","",LEN(SUBSTITUTE($E49," ",""))+LEN(TRIM($E49))-LEN(SUBSTITUTE(TRIM($E49)," ",""))+1)</f>
        <v/>
      </c>
      <c r="G49" s="16">
        <f>IF($F49="","",IF($F49&gt;76,"너무 김",IF($F49&lt;30,"짧음","좋음")))</f>
        <v/>
      </c>
      <c r="H49" s="16" t="n"/>
      <c r="I49" s="17" t="n"/>
    </row>
    <row r="50">
      <c r="A50" s="13" t="n">
        <v>47</v>
      </c>
      <c r="B50" s="13" t="inlineStr">
        <is>
          <t>2026-11-06</t>
        </is>
      </c>
      <c r="C50" s="13" t="inlineStr">
        <is>
          <t>금</t>
        </is>
      </c>
      <c r="D50" s="14" t="n"/>
      <c r="E50" s="15" t="n"/>
      <c r="F50" s="16">
        <f>IF($E50="","",LEN(SUBSTITUTE($E50," ",""))+LEN(TRIM($E50))-LEN(SUBSTITUTE(TRIM($E50)," ",""))+1)</f>
        <v/>
      </c>
      <c r="G50" s="16">
        <f>IF($F50="","",IF($F50&gt;76,"너무 김",IF($F50&lt;30,"짧음","좋음")))</f>
        <v/>
      </c>
      <c r="H50" s="16" t="n"/>
      <c r="I50" s="17" t="n"/>
    </row>
    <row r="51">
      <c r="A51" s="13" t="n">
        <v>48</v>
      </c>
      <c r="B51" s="13" t="inlineStr">
        <is>
          <t>2026-11-07</t>
        </is>
      </c>
      <c r="C51" s="13" t="inlineStr">
        <is>
          <t>토</t>
        </is>
      </c>
      <c r="D51" s="14" t="n"/>
      <c r="E51" s="15" t="n"/>
      <c r="F51" s="16">
        <f>IF($E51="","",LEN(SUBSTITUTE($E51," ",""))+LEN(TRIM($E51))-LEN(SUBSTITUTE(TRIM($E51)," ",""))+1)</f>
        <v/>
      </c>
      <c r="G51" s="16">
        <f>IF($F51="","",IF($F51&gt;76,"너무 김",IF($F51&lt;30,"짧음","좋음")))</f>
        <v/>
      </c>
      <c r="H51" s="16" t="n"/>
      <c r="I51" s="17" t="n"/>
    </row>
    <row r="52">
      <c r="A52" s="13" t="n">
        <v>49</v>
      </c>
      <c r="B52" s="18" t="inlineStr">
        <is>
          <t>2026-11-08</t>
        </is>
      </c>
      <c r="C52" s="19" t="inlineStr">
        <is>
          <t>일</t>
        </is>
      </c>
      <c r="D52" s="14" t="n"/>
      <c r="E52" s="15" t="n"/>
      <c r="F52" s="16">
        <f>IF($E52="","",LEN(SUBSTITUTE($E52," ",""))+LEN(TRIM($E52))-LEN(SUBSTITUTE(TRIM($E52)," ",""))+1)</f>
        <v/>
      </c>
      <c r="G52" s="16">
        <f>IF($F52="","",IF($F52&gt;76,"너무 김",IF($F52&lt;30,"짧음","좋음")))</f>
        <v/>
      </c>
      <c r="H52" s="16" t="n"/>
      <c r="I52" s="17" t="n"/>
    </row>
    <row r="53">
      <c r="A53" s="13" t="n">
        <v>50</v>
      </c>
      <c r="B53" s="13" t="inlineStr">
        <is>
          <t>2026-11-09</t>
        </is>
      </c>
      <c r="C53" s="13" t="inlineStr">
        <is>
          <t>월</t>
        </is>
      </c>
      <c r="D53" s="14" t="n"/>
      <c r="E53" s="15" t="n"/>
      <c r="F53" s="16">
        <f>IF($E53="","",LEN(SUBSTITUTE($E53," ",""))+LEN(TRIM($E53))-LEN(SUBSTITUTE(TRIM($E53)," ",""))+1)</f>
        <v/>
      </c>
      <c r="G53" s="16">
        <f>IF($F53="","",IF($F53&gt;76,"너무 김",IF($F53&lt;30,"짧음","좋음")))</f>
        <v/>
      </c>
      <c r="H53" s="16" t="n"/>
      <c r="I53" s="17" t="n"/>
    </row>
    <row r="54">
      <c r="A54" s="13" t="n">
        <v>51</v>
      </c>
      <c r="B54" s="13" t="inlineStr">
        <is>
          <t>2026-11-10</t>
        </is>
      </c>
      <c r="C54" s="13" t="inlineStr">
        <is>
          <t>화</t>
        </is>
      </c>
      <c r="D54" s="14" t="n"/>
      <c r="E54" s="15" t="n"/>
      <c r="F54" s="16">
        <f>IF($E54="","",LEN(SUBSTITUTE($E54," ",""))+LEN(TRIM($E54))-LEN(SUBSTITUTE(TRIM($E54)," ",""))+1)</f>
        <v/>
      </c>
      <c r="G54" s="16">
        <f>IF($F54="","",IF($F54&gt;76,"너무 김",IF($F54&lt;30,"짧음","좋음")))</f>
        <v/>
      </c>
      <c r="H54" s="16" t="n"/>
      <c r="I54" s="17" t="n"/>
    </row>
    <row r="55">
      <c r="A55" s="13" t="n">
        <v>52</v>
      </c>
      <c r="B55" s="13" t="inlineStr">
        <is>
          <t>2026-11-11</t>
        </is>
      </c>
      <c r="C55" s="13" t="inlineStr">
        <is>
          <t>수</t>
        </is>
      </c>
      <c r="D55" s="14" t="n"/>
      <c r="E55" s="15" t="n"/>
      <c r="F55" s="16">
        <f>IF($E55="","",LEN(SUBSTITUTE($E55," ",""))+LEN(TRIM($E55))-LEN(SUBSTITUTE(TRIM($E55)," ",""))+1)</f>
        <v/>
      </c>
      <c r="G55" s="16">
        <f>IF($F55="","",IF($F55&gt;76,"너무 김",IF($F55&lt;30,"짧음","좋음")))</f>
        <v/>
      </c>
      <c r="H55" s="16" t="n"/>
      <c r="I55" s="17" t="n"/>
    </row>
    <row r="56">
      <c r="A56" s="13" t="n">
        <v>53</v>
      </c>
      <c r="B56" s="13" t="inlineStr">
        <is>
          <t>2026-11-12</t>
        </is>
      </c>
      <c r="C56" s="13" t="inlineStr">
        <is>
          <t>목</t>
        </is>
      </c>
      <c r="D56" s="14" t="n"/>
      <c r="E56" s="15" t="n"/>
      <c r="F56" s="16">
        <f>IF($E56="","",LEN(SUBSTITUTE($E56," ",""))+LEN(TRIM($E56))-LEN(SUBSTITUTE(TRIM($E56)," ",""))+1)</f>
        <v/>
      </c>
      <c r="G56" s="16">
        <f>IF($F56="","",IF($F56&gt;76,"너무 김",IF($F56&lt;30,"짧음","좋음")))</f>
        <v/>
      </c>
      <c r="H56" s="16" t="n"/>
      <c r="I56" s="17" t="n"/>
    </row>
    <row r="57">
      <c r="A57" s="13" t="n">
        <v>54</v>
      </c>
      <c r="B57" s="13" t="inlineStr">
        <is>
          <t>2026-11-13</t>
        </is>
      </c>
      <c r="C57" s="13" t="inlineStr">
        <is>
          <t>금</t>
        </is>
      </c>
      <c r="D57" s="14" t="n"/>
      <c r="E57" s="15" t="n"/>
      <c r="F57" s="16">
        <f>IF($E57="","",LEN(SUBSTITUTE($E57," ",""))+LEN(TRIM($E57))-LEN(SUBSTITUTE(TRIM($E57)," ",""))+1)</f>
        <v/>
      </c>
      <c r="G57" s="16">
        <f>IF($F57="","",IF($F57&gt;76,"너무 김",IF($F57&lt;30,"짧음","좋음")))</f>
        <v/>
      </c>
      <c r="H57" s="16" t="n"/>
      <c r="I57" s="17" t="n"/>
    </row>
    <row r="58">
      <c r="A58" s="13" t="n">
        <v>55</v>
      </c>
      <c r="B58" s="13" t="inlineStr">
        <is>
          <t>2026-11-14</t>
        </is>
      </c>
      <c r="C58" s="13" t="inlineStr">
        <is>
          <t>토</t>
        </is>
      </c>
      <c r="D58" s="14" t="n"/>
      <c r="E58" s="15" t="n"/>
      <c r="F58" s="16">
        <f>IF($E58="","",LEN(SUBSTITUTE($E58," ",""))+LEN(TRIM($E58))-LEN(SUBSTITUTE(TRIM($E58)," ",""))+1)</f>
        <v/>
      </c>
      <c r="G58" s="16">
        <f>IF($F58="","",IF($F58&gt;76,"너무 김",IF($F58&lt;30,"짧음","좋음")))</f>
        <v/>
      </c>
      <c r="H58" s="16" t="n"/>
      <c r="I58" s="17" t="n"/>
    </row>
    <row r="59">
      <c r="A59" s="13" t="n">
        <v>56</v>
      </c>
      <c r="B59" s="18" t="inlineStr">
        <is>
          <t>2026-11-15</t>
        </is>
      </c>
      <c r="C59" s="19" t="inlineStr">
        <is>
          <t>일</t>
        </is>
      </c>
      <c r="D59" s="14" t="n"/>
      <c r="E59" s="15" t="n"/>
      <c r="F59" s="16">
        <f>IF($E59="","",LEN(SUBSTITUTE($E59," ",""))+LEN(TRIM($E59))-LEN(SUBSTITUTE(TRIM($E59)," ",""))+1)</f>
        <v/>
      </c>
      <c r="G59" s="16">
        <f>IF($F59="","",IF($F59&gt;76,"너무 김",IF($F59&lt;30,"짧음","좋음")))</f>
        <v/>
      </c>
      <c r="H59" s="16" t="n"/>
      <c r="I59" s="17" t="n"/>
    </row>
    <row r="60">
      <c r="A60" s="13" t="n">
        <v>57</v>
      </c>
      <c r="B60" s="13" t="inlineStr">
        <is>
          <t>2026-11-16</t>
        </is>
      </c>
      <c r="C60" s="13" t="inlineStr">
        <is>
          <t>월</t>
        </is>
      </c>
      <c r="D60" s="14" t="n"/>
      <c r="E60" s="15" t="n"/>
      <c r="F60" s="16">
        <f>IF($E60="","",LEN(SUBSTITUTE($E60," ",""))+LEN(TRIM($E60))-LEN(SUBSTITUTE(TRIM($E60)," ",""))+1)</f>
        <v/>
      </c>
      <c r="G60" s="16">
        <f>IF($F60="","",IF($F60&gt;76,"너무 김",IF($F60&lt;30,"짧음","좋음")))</f>
        <v/>
      </c>
      <c r="H60" s="16" t="n"/>
      <c r="I60" s="17" t="n"/>
    </row>
    <row r="61">
      <c r="A61" s="13" t="n">
        <v>58</v>
      </c>
      <c r="B61" s="13" t="inlineStr">
        <is>
          <t>2026-11-17</t>
        </is>
      </c>
      <c r="C61" s="13" t="inlineStr">
        <is>
          <t>화</t>
        </is>
      </c>
      <c r="D61" s="14" t="n"/>
      <c r="E61" s="15" t="n"/>
      <c r="F61" s="16">
        <f>IF($E61="","",LEN(SUBSTITUTE($E61," ",""))+LEN(TRIM($E61))-LEN(SUBSTITUTE(TRIM($E61)," ",""))+1)</f>
        <v/>
      </c>
      <c r="G61" s="16">
        <f>IF($F61="","",IF($F61&gt;76,"너무 김",IF($F61&lt;30,"짧음","좋음")))</f>
        <v/>
      </c>
      <c r="H61" s="16" t="n"/>
      <c r="I61" s="17" t="n"/>
    </row>
    <row r="62">
      <c r="A62" s="13" t="n">
        <v>59</v>
      </c>
      <c r="B62" s="13" t="inlineStr">
        <is>
          <t>2026-11-18</t>
        </is>
      </c>
      <c r="C62" s="13" t="inlineStr">
        <is>
          <t>수</t>
        </is>
      </c>
      <c r="D62" s="14" t="n"/>
      <c r="E62" s="15" t="n"/>
      <c r="F62" s="16">
        <f>IF($E62="","",LEN(SUBSTITUTE($E62," ",""))+LEN(TRIM($E62))-LEN(SUBSTITUTE(TRIM($E62)," ",""))+1)</f>
        <v/>
      </c>
      <c r="G62" s="16">
        <f>IF($F62="","",IF($F62&gt;76,"너무 김",IF($F62&lt;30,"짧음","좋음")))</f>
        <v/>
      </c>
      <c r="H62" s="16" t="n"/>
      <c r="I62" s="17" t="n"/>
    </row>
    <row r="63">
      <c r="A63" s="13" t="n">
        <v>60</v>
      </c>
      <c r="B63" s="13" t="inlineStr">
        <is>
          <t>2026-11-19</t>
        </is>
      </c>
      <c r="C63" s="13" t="inlineStr">
        <is>
          <t>목</t>
        </is>
      </c>
      <c r="D63" s="14" t="n"/>
      <c r="E63" s="15" t="n"/>
      <c r="F63" s="16">
        <f>IF($E63="","",LEN(SUBSTITUTE($E63," ",""))+LEN(TRIM($E63))-LEN(SUBSTITUTE(TRIM($E63)," ",""))+1)</f>
        <v/>
      </c>
      <c r="G63" s="16">
        <f>IF($F63="","",IF($F63&gt;76,"너무 김",IF($F63&lt;30,"짧음","좋음")))</f>
        <v/>
      </c>
      <c r="H63" s="16" t="n"/>
      <c r="I63" s="17" t="n"/>
    </row>
    <row r="64">
      <c r="A64" s="13" t="n">
        <v>61</v>
      </c>
      <c r="B64" s="13" t="inlineStr">
        <is>
          <t>2026-11-20</t>
        </is>
      </c>
      <c r="C64" s="13" t="inlineStr">
        <is>
          <t>금</t>
        </is>
      </c>
      <c r="D64" s="14" t="n"/>
      <c r="E64" s="15" t="n"/>
      <c r="F64" s="16">
        <f>IF($E64="","",LEN(SUBSTITUTE($E64," ",""))+LEN(TRIM($E64))-LEN(SUBSTITUTE(TRIM($E64)," ",""))+1)</f>
        <v/>
      </c>
      <c r="G64" s="16">
        <f>IF($F64="","",IF($F64&gt;76,"너무 김",IF($F64&lt;30,"짧음","좋음")))</f>
        <v/>
      </c>
      <c r="H64" s="16" t="n"/>
      <c r="I64" s="17" t="n"/>
    </row>
    <row r="65">
      <c r="A65" s="13" t="n">
        <v>62</v>
      </c>
      <c r="B65" s="13" t="inlineStr">
        <is>
          <t>2026-11-21</t>
        </is>
      </c>
      <c r="C65" s="13" t="inlineStr">
        <is>
          <t>토</t>
        </is>
      </c>
      <c r="D65" s="14" t="n"/>
      <c r="E65" s="15" t="n"/>
      <c r="F65" s="16">
        <f>IF($E65="","",LEN(SUBSTITUTE($E65," ",""))+LEN(TRIM($E65))-LEN(SUBSTITUTE(TRIM($E65)," ",""))+1)</f>
        <v/>
      </c>
      <c r="G65" s="16">
        <f>IF($F65="","",IF($F65&gt;76,"너무 김",IF($F65&lt;30,"짧음","좋음")))</f>
        <v/>
      </c>
      <c r="H65" s="16" t="n"/>
      <c r="I65" s="17" t="n"/>
    </row>
    <row r="66">
      <c r="A66" s="13" t="n">
        <v>63</v>
      </c>
      <c r="B66" s="18" t="inlineStr">
        <is>
          <t>2026-11-22</t>
        </is>
      </c>
      <c r="C66" s="19" t="inlineStr">
        <is>
          <t>일</t>
        </is>
      </c>
      <c r="D66" s="14" t="n"/>
      <c r="E66" s="15" t="n"/>
      <c r="F66" s="16">
        <f>IF($E66="","",LEN(SUBSTITUTE($E66," ",""))+LEN(TRIM($E66))-LEN(SUBSTITUTE(TRIM($E66)," ",""))+1)</f>
        <v/>
      </c>
      <c r="G66" s="16">
        <f>IF($F66="","",IF($F66&gt;76,"너무 김",IF($F66&lt;30,"짧음","좋음")))</f>
        <v/>
      </c>
      <c r="H66" s="16" t="n"/>
      <c r="I66" s="17" t="n"/>
    </row>
    <row r="67">
      <c r="A67" s="13" t="n">
        <v>64</v>
      </c>
      <c r="B67" s="13" t="inlineStr">
        <is>
          <t>2026-11-23</t>
        </is>
      </c>
      <c r="C67" s="13" t="inlineStr">
        <is>
          <t>월</t>
        </is>
      </c>
      <c r="D67" s="14" t="n"/>
      <c r="E67" s="15" t="n"/>
      <c r="F67" s="16">
        <f>IF($E67="","",LEN(SUBSTITUTE($E67," ",""))+LEN(TRIM($E67))-LEN(SUBSTITUTE(TRIM($E67)," ",""))+1)</f>
        <v/>
      </c>
      <c r="G67" s="16">
        <f>IF($F67="","",IF($F67&gt;76,"너무 김",IF($F67&lt;30,"짧음","좋음")))</f>
        <v/>
      </c>
      <c r="H67" s="16" t="n"/>
      <c r="I67" s="17" t="n"/>
    </row>
    <row r="68">
      <c r="A68" s="13" t="n">
        <v>65</v>
      </c>
      <c r="B68" s="13" t="inlineStr">
        <is>
          <t>2026-11-24</t>
        </is>
      </c>
      <c r="C68" s="13" t="inlineStr">
        <is>
          <t>화</t>
        </is>
      </c>
      <c r="D68" s="14" t="n"/>
      <c r="E68" s="15" t="n"/>
      <c r="F68" s="16">
        <f>IF($E68="","",LEN(SUBSTITUTE($E68," ",""))+LEN(TRIM($E68))-LEN(SUBSTITUTE(TRIM($E68)," ",""))+1)</f>
        <v/>
      </c>
      <c r="G68" s="16">
        <f>IF($F68="","",IF($F68&gt;76,"너무 김",IF($F68&lt;30,"짧음","좋음")))</f>
        <v/>
      </c>
      <c r="H68" s="16" t="n"/>
      <c r="I68" s="17" t="n"/>
    </row>
    <row r="69">
      <c r="A69" s="13" t="n">
        <v>66</v>
      </c>
      <c r="B69" s="13" t="inlineStr">
        <is>
          <t>2026-11-25</t>
        </is>
      </c>
      <c r="C69" s="13" t="inlineStr">
        <is>
          <t>수</t>
        </is>
      </c>
      <c r="D69" s="14" t="n"/>
      <c r="E69" s="15" t="n"/>
      <c r="F69" s="16">
        <f>IF($E69="","",LEN(SUBSTITUTE($E69," ",""))+LEN(TRIM($E69))-LEN(SUBSTITUTE(TRIM($E69)," ",""))+1)</f>
        <v/>
      </c>
      <c r="G69" s="16">
        <f>IF($F69="","",IF($F69&gt;76,"너무 김",IF($F69&lt;30,"짧음","좋음")))</f>
        <v/>
      </c>
      <c r="H69" s="16" t="n"/>
      <c r="I69" s="17" t="n"/>
    </row>
    <row r="70">
      <c r="A70" s="13" t="n">
        <v>67</v>
      </c>
      <c r="B70" s="13" t="inlineStr">
        <is>
          <t>2026-11-26</t>
        </is>
      </c>
      <c r="C70" s="13" t="inlineStr">
        <is>
          <t>목</t>
        </is>
      </c>
      <c r="D70" s="14" t="n"/>
      <c r="E70" s="15" t="n"/>
      <c r="F70" s="16">
        <f>IF($E70="","",LEN(SUBSTITUTE($E70," ",""))+LEN(TRIM($E70))-LEN(SUBSTITUTE(TRIM($E70)," ",""))+1)</f>
        <v/>
      </c>
      <c r="G70" s="16">
        <f>IF($F70="","",IF($F70&gt;76,"너무 김",IF($F70&lt;30,"짧음","좋음")))</f>
        <v/>
      </c>
      <c r="H70" s="16" t="n"/>
      <c r="I70" s="17" t="n"/>
    </row>
    <row r="71">
      <c r="A71" s="13" t="n">
        <v>68</v>
      </c>
      <c r="B71" s="13" t="inlineStr">
        <is>
          <t>2026-11-27</t>
        </is>
      </c>
      <c r="C71" s="13" t="inlineStr">
        <is>
          <t>금</t>
        </is>
      </c>
      <c r="D71" s="14" t="n"/>
      <c r="E71" s="15" t="n"/>
      <c r="F71" s="16">
        <f>IF($E71="","",LEN(SUBSTITUTE($E71," ",""))+LEN(TRIM($E71))-LEN(SUBSTITUTE(TRIM($E71)," ",""))+1)</f>
        <v/>
      </c>
      <c r="G71" s="16">
        <f>IF($F71="","",IF($F71&gt;76,"너무 김",IF($F71&lt;30,"짧음","좋음")))</f>
        <v/>
      </c>
      <c r="H71" s="16" t="n"/>
      <c r="I71" s="17" t="n"/>
    </row>
    <row r="72">
      <c r="A72" s="13" t="n">
        <v>69</v>
      </c>
      <c r="B72" s="13" t="inlineStr">
        <is>
          <t>2026-11-28</t>
        </is>
      </c>
      <c r="C72" s="13" t="inlineStr">
        <is>
          <t>토</t>
        </is>
      </c>
      <c r="D72" s="14" t="n"/>
      <c r="E72" s="15" t="n"/>
      <c r="F72" s="16">
        <f>IF($E72="","",LEN(SUBSTITUTE($E72," ",""))+LEN(TRIM($E72))-LEN(SUBSTITUTE(TRIM($E72)," ",""))+1)</f>
        <v/>
      </c>
      <c r="G72" s="16">
        <f>IF($F72="","",IF($F72&gt;76,"너무 김",IF($F72&lt;30,"짧음","좋음")))</f>
        <v/>
      </c>
      <c r="H72" s="16" t="n"/>
      <c r="I72" s="17" t="n"/>
    </row>
    <row r="73">
      <c r="A73" s="13" t="n">
        <v>70</v>
      </c>
      <c r="B73" s="18" t="inlineStr">
        <is>
          <t>2026-11-29</t>
        </is>
      </c>
      <c r="C73" s="19" t="inlineStr">
        <is>
          <t>일</t>
        </is>
      </c>
      <c r="D73" s="14" t="n"/>
      <c r="E73" s="15" t="n"/>
      <c r="F73" s="16">
        <f>IF($E73="","",LEN(SUBSTITUTE($E73," ",""))+LEN(TRIM($E73))-LEN(SUBSTITUTE(TRIM($E73)," ",""))+1)</f>
        <v/>
      </c>
      <c r="G73" s="16">
        <f>IF($F73="","",IF($F73&gt;76,"너무 김",IF($F73&lt;30,"짧음","좋음")))</f>
        <v/>
      </c>
      <c r="H73" s="16" t="n"/>
      <c r="I73" s="17" t="n"/>
    </row>
    <row r="74">
      <c r="A74" s="13" t="n">
        <v>71</v>
      </c>
      <c r="B74" s="13" t="inlineStr">
        <is>
          <t>2026-11-30</t>
        </is>
      </c>
      <c r="C74" s="13" t="inlineStr">
        <is>
          <t>월</t>
        </is>
      </c>
      <c r="D74" s="14" t="n"/>
      <c r="E74" s="15" t="n"/>
      <c r="F74" s="16">
        <f>IF($E74="","",LEN(SUBSTITUTE($E74," ",""))+LEN(TRIM($E74))-LEN(SUBSTITUTE(TRIM($E74)," ",""))+1)</f>
        <v/>
      </c>
      <c r="G74" s="16">
        <f>IF($F74="","",IF($F74&gt;76,"너무 김",IF($F74&lt;30,"짧음","좋음")))</f>
        <v/>
      </c>
      <c r="H74" s="16" t="n"/>
      <c r="I74" s="17" t="n"/>
    </row>
    <row r="75">
      <c r="A75" s="13" t="n">
        <v>72</v>
      </c>
      <c r="B75" s="13" t="inlineStr">
        <is>
          <t>2026-12-01</t>
        </is>
      </c>
      <c r="C75" s="13" t="inlineStr">
        <is>
          <t>화</t>
        </is>
      </c>
      <c r="D75" s="14" t="n"/>
      <c r="E75" s="15" t="n"/>
      <c r="F75" s="16">
        <f>IF($E75="","",LEN(SUBSTITUTE($E75," ",""))+LEN(TRIM($E75))-LEN(SUBSTITUTE(TRIM($E75)," ",""))+1)</f>
        <v/>
      </c>
      <c r="G75" s="16">
        <f>IF($F75="","",IF($F75&gt;76,"너무 김",IF($F75&lt;30,"짧음","좋음")))</f>
        <v/>
      </c>
      <c r="H75" s="16" t="n"/>
      <c r="I75" s="17" t="n"/>
    </row>
    <row r="76">
      <c r="A76" s="13" t="n">
        <v>73</v>
      </c>
      <c r="B76" s="13" t="inlineStr">
        <is>
          <t>2026-12-02</t>
        </is>
      </c>
      <c r="C76" s="13" t="inlineStr">
        <is>
          <t>수</t>
        </is>
      </c>
      <c r="D76" s="14" t="n"/>
      <c r="E76" s="15" t="n"/>
      <c r="F76" s="16">
        <f>IF($E76="","",LEN(SUBSTITUTE($E76," ",""))+LEN(TRIM($E76))-LEN(SUBSTITUTE(TRIM($E76)," ",""))+1)</f>
        <v/>
      </c>
      <c r="G76" s="16">
        <f>IF($F76="","",IF($F76&gt;76,"너무 김",IF($F76&lt;30,"짧음","좋음")))</f>
        <v/>
      </c>
      <c r="H76" s="16" t="n"/>
      <c r="I76" s="17" t="n"/>
    </row>
    <row r="77">
      <c r="A77" s="13" t="n">
        <v>74</v>
      </c>
      <c r="B77" s="13" t="inlineStr">
        <is>
          <t>2026-12-03</t>
        </is>
      </c>
      <c r="C77" s="13" t="inlineStr">
        <is>
          <t>목</t>
        </is>
      </c>
      <c r="D77" s="14" t="n"/>
      <c r="E77" s="15" t="n"/>
      <c r="F77" s="16">
        <f>IF($E77="","",LEN(SUBSTITUTE($E77," ",""))+LEN(TRIM($E77))-LEN(SUBSTITUTE(TRIM($E77)," ",""))+1)</f>
        <v/>
      </c>
      <c r="G77" s="16">
        <f>IF($F77="","",IF($F77&gt;76,"너무 김",IF($F77&lt;30,"짧음","좋음")))</f>
        <v/>
      </c>
      <c r="H77" s="16" t="n"/>
      <c r="I77" s="17" t="n"/>
    </row>
    <row r="78">
      <c r="A78" s="13" t="n">
        <v>75</v>
      </c>
      <c r="B78" s="13" t="inlineStr">
        <is>
          <t>2026-12-04</t>
        </is>
      </c>
      <c r="C78" s="13" t="inlineStr">
        <is>
          <t>금</t>
        </is>
      </c>
      <c r="D78" s="14" t="n"/>
      <c r="E78" s="15" t="n"/>
      <c r="F78" s="16">
        <f>IF($E78="","",LEN(SUBSTITUTE($E78," ",""))+LEN(TRIM($E78))-LEN(SUBSTITUTE(TRIM($E78)," ",""))+1)</f>
        <v/>
      </c>
      <c r="G78" s="16">
        <f>IF($F78="","",IF($F78&gt;76,"너무 김",IF($F78&lt;30,"짧음","좋음")))</f>
        <v/>
      </c>
      <c r="H78" s="16" t="n"/>
      <c r="I78" s="17" t="n"/>
    </row>
    <row r="79">
      <c r="A79" s="13" t="n">
        <v>76</v>
      </c>
      <c r="B79" s="13" t="inlineStr">
        <is>
          <t>2026-12-05</t>
        </is>
      </c>
      <c r="C79" s="13" t="inlineStr">
        <is>
          <t>토</t>
        </is>
      </c>
      <c r="D79" s="14" t="n"/>
      <c r="E79" s="15" t="n"/>
      <c r="F79" s="16">
        <f>IF($E79="","",LEN(SUBSTITUTE($E79," ",""))+LEN(TRIM($E79))-LEN(SUBSTITUTE(TRIM($E79)," ",""))+1)</f>
        <v/>
      </c>
      <c r="G79" s="16">
        <f>IF($F79="","",IF($F79&gt;76,"너무 김",IF($F79&lt;30,"짧음","좋음")))</f>
        <v/>
      </c>
      <c r="H79" s="16" t="n"/>
      <c r="I79" s="17" t="n"/>
    </row>
    <row r="80">
      <c r="A80" s="13" t="n">
        <v>77</v>
      </c>
      <c r="B80" s="18" t="inlineStr">
        <is>
          <t>2026-12-06</t>
        </is>
      </c>
      <c r="C80" s="19" t="inlineStr">
        <is>
          <t>일</t>
        </is>
      </c>
      <c r="D80" s="14" t="n"/>
      <c r="E80" s="15" t="n"/>
      <c r="F80" s="16">
        <f>IF($E80="","",LEN(SUBSTITUTE($E80," ",""))+LEN(TRIM($E80))-LEN(SUBSTITUTE(TRIM($E80)," ",""))+1)</f>
        <v/>
      </c>
      <c r="G80" s="16">
        <f>IF($F80="","",IF($F80&gt;76,"너무 김",IF($F80&lt;30,"짧음","좋음")))</f>
        <v/>
      </c>
      <c r="H80" s="16" t="n"/>
      <c r="I80" s="17" t="n"/>
    </row>
    <row r="81">
      <c r="A81" s="13" t="n">
        <v>78</v>
      </c>
      <c r="B81" s="13" t="inlineStr">
        <is>
          <t>2026-12-07</t>
        </is>
      </c>
      <c r="C81" s="13" t="inlineStr">
        <is>
          <t>월</t>
        </is>
      </c>
      <c r="D81" s="14" t="n"/>
      <c r="E81" s="15" t="n"/>
      <c r="F81" s="16">
        <f>IF($E81="","",LEN(SUBSTITUTE($E81," ",""))+LEN(TRIM($E81))-LEN(SUBSTITUTE(TRIM($E81)," ",""))+1)</f>
        <v/>
      </c>
      <c r="G81" s="16">
        <f>IF($F81="","",IF($F81&gt;76,"너무 김",IF($F81&lt;30,"짧음","좋음")))</f>
        <v/>
      </c>
      <c r="H81" s="16" t="n"/>
      <c r="I81" s="17" t="n"/>
    </row>
    <row r="82">
      <c r="A82" s="13" t="n">
        <v>79</v>
      </c>
      <c r="B82" s="13" t="inlineStr">
        <is>
          <t>2026-12-08</t>
        </is>
      </c>
      <c r="C82" s="13" t="inlineStr">
        <is>
          <t>화</t>
        </is>
      </c>
      <c r="D82" s="14" t="n"/>
      <c r="E82" s="15" t="n"/>
      <c r="F82" s="16">
        <f>IF($E82="","",LEN(SUBSTITUTE($E82," ",""))+LEN(TRIM($E82))-LEN(SUBSTITUTE(TRIM($E82)," ",""))+1)</f>
        <v/>
      </c>
      <c r="G82" s="16">
        <f>IF($F82="","",IF($F82&gt;76,"너무 김",IF($F82&lt;30,"짧음","좋음")))</f>
        <v/>
      </c>
      <c r="H82" s="16" t="n"/>
      <c r="I82" s="17" t="n"/>
    </row>
    <row r="83">
      <c r="A83" s="13" t="n">
        <v>80</v>
      </c>
      <c r="B83" s="13" t="inlineStr">
        <is>
          <t>2026-12-09</t>
        </is>
      </c>
      <c r="C83" s="13" t="inlineStr">
        <is>
          <t>수</t>
        </is>
      </c>
      <c r="D83" s="14" t="n"/>
      <c r="E83" s="15" t="n"/>
      <c r="F83" s="16">
        <f>IF($E83="","",LEN(SUBSTITUTE($E83," ",""))+LEN(TRIM($E83))-LEN(SUBSTITUTE(TRIM($E83)," ",""))+1)</f>
        <v/>
      </c>
      <c r="G83" s="16">
        <f>IF($F83="","",IF($F83&gt;76,"너무 김",IF($F83&lt;30,"짧음","좋음")))</f>
        <v/>
      </c>
      <c r="H83" s="16" t="n"/>
      <c r="I83" s="17" t="n"/>
    </row>
    <row r="84">
      <c r="A84" s="13" t="n">
        <v>81</v>
      </c>
      <c r="B84" s="13" t="inlineStr">
        <is>
          <t>2026-12-10</t>
        </is>
      </c>
      <c r="C84" s="13" t="inlineStr">
        <is>
          <t>목</t>
        </is>
      </c>
      <c r="D84" s="14" t="n"/>
      <c r="E84" s="15" t="n"/>
      <c r="F84" s="16">
        <f>IF($E84="","",LEN(SUBSTITUTE($E84," ",""))+LEN(TRIM($E84))-LEN(SUBSTITUTE(TRIM($E84)," ",""))+1)</f>
        <v/>
      </c>
      <c r="G84" s="16">
        <f>IF($F84="","",IF($F84&gt;76,"너무 김",IF($F84&lt;30,"짧음","좋음")))</f>
        <v/>
      </c>
      <c r="H84" s="16" t="n"/>
      <c r="I84" s="17" t="n"/>
    </row>
    <row r="85">
      <c r="A85" s="13" t="n">
        <v>82</v>
      </c>
      <c r="B85" s="13" t="inlineStr">
        <is>
          <t>2026-12-11</t>
        </is>
      </c>
      <c r="C85" s="13" t="inlineStr">
        <is>
          <t>금</t>
        </is>
      </c>
      <c r="D85" s="14" t="n"/>
      <c r="E85" s="15" t="n"/>
      <c r="F85" s="16">
        <f>IF($E85="","",LEN(SUBSTITUTE($E85," ",""))+LEN(TRIM($E85))-LEN(SUBSTITUTE(TRIM($E85)," ",""))+1)</f>
        <v/>
      </c>
      <c r="G85" s="16">
        <f>IF($F85="","",IF($F85&gt;76,"너무 김",IF($F85&lt;30,"짧음","좋음")))</f>
        <v/>
      </c>
      <c r="H85" s="16" t="n"/>
      <c r="I85" s="17" t="n"/>
    </row>
    <row r="86">
      <c r="A86" s="13" t="n">
        <v>83</v>
      </c>
      <c r="B86" s="13" t="inlineStr">
        <is>
          <t>2026-12-12</t>
        </is>
      </c>
      <c r="C86" s="13" t="inlineStr">
        <is>
          <t>토</t>
        </is>
      </c>
      <c r="D86" s="14" t="n"/>
      <c r="E86" s="15" t="n"/>
      <c r="F86" s="16">
        <f>IF($E86="","",LEN(SUBSTITUTE($E86," ",""))+LEN(TRIM($E86))-LEN(SUBSTITUTE(TRIM($E86)," ",""))+1)</f>
        <v/>
      </c>
      <c r="G86" s="16">
        <f>IF($F86="","",IF($F86&gt;76,"너무 김",IF($F86&lt;30,"짧음","좋음")))</f>
        <v/>
      </c>
      <c r="H86" s="16" t="n"/>
      <c r="I86" s="17" t="n"/>
    </row>
    <row r="87">
      <c r="A87" s="13" t="n">
        <v>84</v>
      </c>
      <c r="B87" s="18" t="inlineStr">
        <is>
          <t>2026-12-13</t>
        </is>
      </c>
      <c r="C87" s="19" t="inlineStr">
        <is>
          <t>일</t>
        </is>
      </c>
      <c r="D87" s="14" t="n"/>
      <c r="E87" s="15" t="n"/>
      <c r="F87" s="16">
        <f>IF($E87="","",LEN(SUBSTITUTE($E87," ",""))+LEN(TRIM($E87))-LEN(SUBSTITUTE(TRIM($E87)," ",""))+1)</f>
        <v/>
      </c>
      <c r="G87" s="16">
        <f>IF($F87="","",IF($F87&gt;76,"너무 김",IF($F87&lt;30,"짧음","좋음")))</f>
        <v/>
      </c>
      <c r="H87" s="16" t="n"/>
      <c r="I87" s="17" t="n"/>
    </row>
    <row r="88">
      <c r="A88" s="13" t="n">
        <v>85</v>
      </c>
      <c r="B88" s="13" t="inlineStr">
        <is>
          <t>2026-12-14</t>
        </is>
      </c>
      <c r="C88" s="13" t="inlineStr">
        <is>
          <t>월</t>
        </is>
      </c>
      <c r="D88" s="14" t="n"/>
      <c r="E88" s="15" t="n"/>
      <c r="F88" s="16">
        <f>IF($E88="","",LEN(SUBSTITUTE($E88," ",""))+LEN(TRIM($E88))-LEN(SUBSTITUTE(TRIM($E88)," ",""))+1)</f>
        <v/>
      </c>
      <c r="G88" s="16">
        <f>IF($F88="","",IF($F88&gt;76,"너무 김",IF($F88&lt;30,"짧음","좋음")))</f>
        <v/>
      </c>
      <c r="H88" s="16" t="n"/>
      <c r="I88" s="17" t="n"/>
    </row>
    <row r="89">
      <c r="A89" s="13" t="n">
        <v>86</v>
      </c>
      <c r="B89" s="13" t="inlineStr">
        <is>
          <t>2026-12-15</t>
        </is>
      </c>
      <c r="C89" s="13" t="inlineStr">
        <is>
          <t>화</t>
        </is>
      </c>
      <c r="D89" s="14" t="n"/>
      <c r="E89" s="15" t="n"/>
      <c r="F89" s="16">
        <f>IF($E89="","",LEN(SUBSTITUTE($E89," ",""))+LEN(TRIM($E89))-LEN(SUBSTITUTE(TRIM($E89)," ",""))+1)</f>
        <v/>
      </c>
      <c r="G89" s="16">
        <f>IF($F89="","",IF($F89&gt;76,"너무 김",IF($F89&lt;30,"짧음","좋음")))</f>
        <v/>
      </c>
      <c r="H89" s="16" t="n"/>
      <c r="I89" s="17" t="n"/>
    </row>
    <row r="90">
      <c r="A90" s="13" t="n">
        <v>87</v>
      </c>
      <c r="B90" s="13" t="inlineStr">
        <is>
          <t>2026-12-16</t>
        </is>
      </c>
      <c r="C90" s="13" t="inlineStr">
        <is>
          <t>수</t>
        </is>
      </c>
      <c r="D90" s="14" t="n"/>
      <c r="E90" s="15" t="n"/>
      <c r="F90" s="16">
        <f>IF($E90="","",LEN(SUBSTITUTE($E90," ",""))+LEN(TRIM($E90))-LEN(SUBSTITUTE(TRIM($E90)," ",""))+1)</f>
        <v/>
      </c>
      <c r="G90" s="16">
        <f>IF($F90="","",IF($F90&gt;76,"너무 김",IF($F90&lt;30,"짧음","좋음")))</f>
        <v/>
      </c>
      <c r="H90" s="16" t="n"/>
      <c r="I90" s="17" t="n"/>
    </row>
    <row r="91">
      <c r="A91" s="13" t="n">
        <v>88</v>
      </c>
      <c r="B91" s="13" t="inlineStr">
        <is>
          <t>2026-12-17</t>
        </is>
      </c>
      <c r="C91" s="13" t="inlineStr">
        <is>
          <t>목</t>
        </is>
      </c>
      <c r="D91" s="14" t="n"/>
      <c r="E91" s="15" t="n"/>
      <c r="F91" s="16">
        <f>IF($E91="","",LEN(SUBSTITUTE($E91," ",""))+LEN(TRIM($E91))-LEN(SUBSTITUTE(TRIM($E91)," ",""))+1)</f>
        <v/>
      </c>
      <c r="G91" s="16">
        <f>IF($F91="","",IF($F91&gt;76,"너무 김",IF($F91&lt;30,"짧음","좋음")))</f>
        <v/>
      </c>
      <c r="H91" s="16" t="n"/>
      <c r="I91" s="17" t="n"/>
    </row>
    <row r="92">
      <c r="A92" s="13" t="n">
        <v>89</v>
      </c>
      <c r="B92" s="13" t="inlineStr">
        <is>
          <t>2026-12-18</t>
        </is>
      </c>
      <c r="C92" s="13" t="inlineStr">
        <is>
          <t>금</t>
        </is>
      </c>
      <c r="D92" s="14" t="n"/>
      <c r="E92" s="15" t="n"/>
      <c r="F92" s="16">
        <f>IF($E92="","",LEN(SUBSTITUTE($E92," ",""))+LEN(TRIM($E92))-LEN(SUBSTITUTE(TRIM($E92)," ",""))+1)</f>
        <v/>
      </c>
      <c r="G92" s="16">
        <f>IF($F92="","",IF($F92&gt;76,"너무 김",IF($F92&lt;30,"짧음","좋음")))</f>
        <v/>
      </c>
      <c r="H92" s="16" t="n"/>
      <c r="I92" s="17" t="n"/>
    </row>
    <row r="93">
      <c r="A93" s="13" t="n">
        <v>90</v>
      </c>
      <c r="B93" s="13" t="inlineStr">
        <is>
          <t>2026-12-19</t>
        </is>
      </c>
      <c r="C93" s="13" t="inlineStr">
        <is>
          <t>토</t>
        </is>
      </c>
      <c r="D93" s="14" t="n"/>
      <c r="E93" s="15" t="n"/>
      <c r="F93" s="16">
        <f>IF($E93="","",LEN(SUBSTITUTE($E93," ",""))+LEN(TRIM($E93))-LEN(SUBSTITUTE(TRIM($E93)," ",""))+1)</f>
        <v/>
      </c>
      <c r="G93" s="16">
        <f>IF($F93="","",IF($F93&gt;76,"너무 김",IF($F93&lt;30,"짧음","좋음")))</f>
        <v/>
      </c>
      <c r="H93" s="16" t="n"/>
      <c r="I93" s="17" t="n"/>
    </row>
    <row r="94">
      <c r="A94" s="13" t="n">
        <v>91</v>
      </c>
      <c r="B94" s="18" t="inlineStr">
        <is>
          <t>2026-12-20</t>
        </is>
      </c>
      <c r="C94" s="19" t="inlineStr">
        <is>
          <t>일</t>
        </is>
      </c>
      <c r="D94" s="14" t="n"/>
      <c r="E94" s="15" t="n"/>
      <c r="F94" s="16">
        <f>IF($E94="","",LEN(SUBSTITUTE($E94," ",""))+LEN(TRIM($E94))-LEN(SUBSTITUTE(TRIM($E94)," ",""))+1)</f>
        <v/>
      </c>
      <c r="G94" s="16">
        <f>IF($F94="","",IF($F94&gt;76,"너무 김",IF($F94&lt;30,"짧음","좋음")))</f>
        <v/>
      </c>
      <c r="H94" s="16" t="n"/>
      <c r="I94" s="17" t="n"/>
    </row>
    <row r="95">
      <c r="A95" s="13" t="n">
        <v>92</v>
      </c>
      <c r="B95" s="13" t="inlineStr">
        <is>
          <t>2026-12-21</t>
        </is>
      </c>
      <c r="C95" s="13" t="inlineStr">
        <is>
          <t>월</t>
        </is>
      </c>
      <c r="D95" s="14" t="n"/>
      <c r="E95" s="15" t="n"/>
      <c r="F95" s="16">
        <f>IF($E95="","",LEN(SUBSTITUTE($E95," ",""))+LEN(TRIM($E95))-LEN(SUBSTITUTE(TRIM($E95)," ",""))+1)</f>
        <v/>
      </c>
      <c r="G95" s="16">
        <f>IF($F95="","",IF($F95&gt;76,"너무 김",IF($F95&lt;30,"짧음","좋음")))</f>
        <v/>
      </c>
      <c r="H95" s="16" t="n"/>
      <c r="I95" s="17" t="n"/>
    </row>
    <row r="96">
      <c r="A96" s="13" t="n">
        <v>93</v>
      </c>
      <c r="B96" s="13" t="inlineStr">
        <is>
          <t>2026-12-22</t>
        </is>
      </c>
      <c r="C96" s="13" t="inlineStr">
        <is>
          <t>화</t>
        </is>
      </c>
      <c r="D96" s="14" t="n"/>
      <c r="E96" s="15" t="n"/>
      <c r="F96" s="16">
        <f>IF($E96="","",LEN(SUBSTITUTE($E96," ",""))+LEN(TRIM($E96))-LEN(SUBSTITUTE(TRIM($E96)," ",""))+1)</f>
        <v/>
      </c>
      <c r="G96" s="16">
        <f>IF($F96="","",IF($F96&gt;76,"너무 김",IF($F96&lt;30,"짧음","좋음")))</f>
        <v/>
      </c>
      <c r="H96" s="16" t="n"/>
      <c r="I96" s="17" t="n"/>
    </row>
    <row r="97">
      <c r="A97" s="13" t="n">
        <v>94</v>
      </c>
      <c r="B97" s="13" t="inlineStr">
        <is>
          <t>2026-12-23</t>
        </is>
      </c>
      <c r="C97" s="13" t="inlineStr">
        <is>
          <t>수</t>
        </is>
      </c>
      <c r="D97" s="14" t="n"/>
      <c r="E97" s="15" t="n"/>
      <c r="F97" s="16">
        <f>IF($E97="","",LEN(SUBSTITUTE($E97," ",""))+LEN(TRIM($E97))-LEN(SUBSTITUTE(TRIM($E97)," ",""))+1)</f>
        <v/>
      </c>
      <c r="G97" s="16">
        <f>IF($F97="","",IF($F97&gt;76,"너무 김",IF($F97&lt;30,"짧음","좋음")))</f>
        <v/>
      </c>
      <c r="H97" s="16" t="n"/>
      <c r="I97" s="17" t="n"/>
    </row>
    <row r="98">
      <c r="A98" s="13" t="n">
        <v>95</v>
      </c>
      <c r="B98" s="13" t="inlineStr">
        <is>
          <t>2026-12-24</t>
        </is>
      </c>
      <c r="C98" s="13" t="inlineStr">
        <is>
          <t>목</t>
        </is>
      </c>
      <c r="D98" s="14" t="n"/>
      <c r="E98" s="15" t="n"/>
      <c r="F98" s="16">
        <f>IF($E98="","",LEN(SUBSTITUTE($E98," ",""))+LEN(TRIM($E98))-LEN(SUBSTITUTE(TRIM($E98)," ",""))+1)</f>
        <v/>
      </c>
      <c r="G98" s="16">
        <f>IF($F98="","",IF($F98&gt;76,"너무 김",IF($F98&lt;30,"짧음","좋음")))</f>
        <v/>
      </c>
      <c r="H98" s="16" t="n"/>
      <c r="I98" s="17" t="n"/>
    </row>
    <row r="99">
      <c r="A99" s="13" t="n">
        <v>96</v>
      </c>
      <c r="B99" s="13" t="inlineStr">
        <is>
          <t>2026-12-25</t>
        </is>
      </c>
      <c r="C99" s="13" t="inlineStr">
        <is>
          <t>금</t>
        </is>
      </c>
      <c r="D99" s="14" t="n"/>
      <c r="E99" s="15" t="n"/>
      <c r="F99" s="16">
        <f>IF($E99="","",LEN(SUBSTITUTE($E99," ",""))+LEN(TRIM($E99))-LEN(SUBSTITUTE(TRIM($E99)," ",""))+1)</f>
        <v/>
      </c>
      <c r="G99" s="16">
        <f>IF($F99="","",IF($F99&gt;76,"너무 김",IF($F99&lt;30,"짧음","좋음")))</f>
        <v/>
      </c>
      <c r="H99" s="16" t="n"/>
      <c r="I99" s="17" t="n"/>
    </row>
    <row r="100">
      <c r="A100" s="13" t="n">
        <v>97</v>
      </c>
      <c r="B100" s="13" t="inlineStr">
        <is>
          <t>2026-12-26</t>
        </is>
      </c>
      <c r="C100" s="13" t="inlineStr">
        <is>
          <t>토</t>
        </is>
      </c>
      <c r="D100" s="14" t="n"/>
      <c r="E100" s="15" t="n"/>
      <c r="F100" s="16">
        <f>IF($E100="","",LEN(SUBSTITUTE($E100," ",""))+LEN(TRIM($E100))-LEN(SUBSTITUTE(TRIM($E100)," ",""))+1)</f>
        <v/>
      </c>
      <c r="G100" s="16">
        <f>IF($F100="","",IF($F100&gt;76,"너무 김",IF($F100&lt;30,"짧음","좋음")))</f>
        <v/>
      </c>
      <c r="H100" s="16" t="n"/>
      <c r="I100" s="17" t="n"/>
    </row>
    <row r="101">
      <c r="A101" s="13" t="n">
        <v>98</v>
      </c>
      <c r="B101" s="18" t="inlineStr">
        <is>
          <t>2026-12-27</t>
        </is>
      </c>
      <c r="C101" s="19" t="inlineStr">
        <is>
          <t>일</t>
        </is>
      </c>
      <c r="D101" s="14" t="n"/>
      <c r="E101" s="15" t="n"/>
      <c r="F101" s="16">
        <f>IF($E101="","",LEN(SUBSTITUTE($E101," ",""))+LEN(TRIM($E101))-LEN(SUBSTITUTE(TRIM($E101)," ",""))+1)</f>
        <v/>
      </c>
      <c r="G101" s="16">
        <f>IF($F101="","",IF($F101&gt;76,"너무 김",IF($F101&lt;30,"짧음","좋음")))</f>
        <v/>
      </c>
      <c r="H101" s="16" t="n"/>
      <c r="I101" s="17" t="n"/>
    </row>
    <row r="102">
      <c r="A102" s="13" t="n">
        <v>99</v>
      </c>
      <c r="B102" s="13" t="inlineStr">
        <is>
          <t>2026-12-28</t>
        </is>
      </c>
      <c r="C102" s="13" t="inlineStr">
        <is>
          <t>월</t>
        </is>
      </c>
      <c r="D102" s="14" t="n"/>
      <c r="E102" s="15" t="n"/>
      <c r="F102" s="16">
        <f>IF($E102="","",LEN(SUBSTITUTE($E102," ",""))+LEN(TRIM($E102))-LEN(SUBSTITUTE(TRIM($E102)," ",""))+1)</f>
        <v/>
      </c>
      <c r="G102" s="16">
        <f>IF($F102="","",IF($F102&gt;76,"너무 김",IF($F102&lt;30,"짧음","좋음")))</f>
        <v/>
      </c>
      <c r="H102" s="16" t="n"/>
      <c r="I102" s="17" t="n"/>
    </row>
    <row r="103">
      <c r="A103" s="13" t="n">
        <v>100</v>
      </c>
      <c r="B103" s="13" t="inlineStr">
        <is>
          <t>2026-12-29</t>
        </is>
      </c>
      <c r="C103" s="13" t="inlineStr">
        <is>
          <t>화</t>
        </is>
      </c>
      <c r="D103" s="14" t="n"/>
      <c r="E103" s="15" t="n"/>
      <c r="F103" s="16">
        <f>IF($E103="","",LEN(SUBSTITUTE($E103," ",""))+LEN(TRIM($E103))-LEN(SUBSTITUTE(TRIM($E103)," ",""))+1)</f>
        <v/>
      </c>
      <c r="G103" s="16">
        <f>IF($F103="","",IF($F103&gt;76,"너무 김",IF($F103&lt;30,"짧음","좋음")))</f>
        <v/>
      </c>
      <c r="H103" s="16" t="n"/>
      <c r="I103" s="17" t="n"/>
    </row>
    <row r="104">
      <c r="A104" s="13" t="n">
        <v>101</v>
      </c>
      <c r="B104" s="13" t="inlineStr">
        <is>
          <t>2026-12-30</t>
        </is>
      </c>
      <c r="C104" s="13" t="inlineStr">
        <is>
          <t>수</t>
        </is>
      </c>
      <c r="D104" s="14" t="n"/>
      <c r="E104" s="15" t="n"/>
      <c r="F104" s="16">
        <f>IF($E104="","",LEN(SUBSTITUTE($E104," ",""))+LEN(TRIM($E104))-LEN(SUBSTITUTE(TRIM($E104)," ",""))+1)</f>
        <v/>
      </c>
      <c r="G104" s="16">
        <f>IF($F104="","",IF($F104&gt;76,"너무 김",IF($F104&lt;30,"짧음","좋음")))</f>
        <v/>
      </c>
      <c r="H104" s="16" t="n"/>
      <c r="I104" s="17" t="n"/>
    </row>
    <row r="105">
      <c r="A105" s="13" t="n">
        <v>102</v>
      </c>
      <c r="B105" s="13" t="inlineStr">
        <is>
          <t>2026-12-31</t>
        </is>
      </c>
      <c r="C105" s="13" t="inlineStr">
        <is>
          <t>목</t>
        </is>
      </c>
      <c r="D105" s="14" t="n"/>
      <c r="E105" s="15" t="n"/>
      <c r="F105" s="16">
        <f>IF($E105="","",LEN(SUBSTITUTE($E105," ",""))+LEN(TRIM($E105))-LEN(SUBSTITUTE(TRIM($E105)," ",""))+1)</f>
        <v/>
      </c>
      <c r="G105" s="16">
        <f>IF($F105="","",IF($F105&gt;76,"너무 김",IF($F105&lt;30,"짧음","좋음")))</f>
        <v/>
      </c>
      <c r="H105" s="16" t="n"/>
      <c r="I105" s="17" t="n"/>
    </row>
    <row r="106">
      <c r="A106" s="13" t="n">
        <v>103</v>
      </c>
      <c r="B106" s="13" t="inlineStr">
        <is>
          <t>2027-01-01</t>
        </is>
      </c>
      <c r="C106" s="13" t="inlineStr">
        <is>
          <t>금</t>
        </is>
      </c>
      <c r="D106" s="14" t="n"/>
      <c r="E106" s="15" t="n"/>
      <c r="F106" s="16">
        <f>IF($E106="","",LEN(SUBSTITUTE($E106," ",""))+LEN(TRIM($E106))-LEN(SUBSTITUTE(TRIM($E106)," ",""))+1)</f>
        <v/>
      </c>
      <c r="G106" s="16">
        <f>IF($F106="","",IF($F106&gt;76,"너무 김",IF($F106&lt;30,"짧음","좋음")))</f>
        <v/>
      </c>
      <c r="H106" s="16" t="n"/>
      <c r="I106" s="17" t="n"/>
    </row>
    <row r="107">
      <c r="A107" s="13" t="n">
        <v>104</v>
      </c>
      <c r="B107" s="13" t="inlineStr">
        <is>
          <t>2027-01-02</t>
        </is>
      </c>
      <c r="C107" s="13" t="inlineStr">
        <is>
          <t>토</t>
        </is>
      </c>
      <c r="D107" s="14" t="n"/>
      <c r="E107" s="15" t="n"/>
      <c r="F107" s="16">
        <f>IF($E107="","",LEN(SUBSTITUTE($E107," ",""))+LEN(TRIM($E107))-LEN(SUBSTITUTE(TRIM($E107)," ",""))+1)</f>
        <v/>
      </c>
      <c r="G107" s="16">
        <f>IF($F107="","",IF($F107&gt;76,"너무 김",IF($F107&lt;30,"짧음","좋음")))</f>
        <v/>
      </c>
      <c r="H107" s="16" t="n"/>
      <c r="I107" s="17" t="n"/>
    </row>
    <row r="108">
      <c r="A108" s="13" t="n">
        <v>105</v>
      </c>
      <c r="B108" s="18" t="inlineStr">
        <is>
          <t>2027-01-03</t>
        </is>
      </c>
      <c r="C108" s="19" t="inlineStr">
        <is>
          <t>일</t>
        </is>
      </c>
      <c r="D108" s="14" t="n"/>
      <c r="E108" s="15" t="n"/>
      <c r="F108" s="16">
        <f>IF($E108="","",LEN(SUBSTITUTE($E108," ",""))+LEN(TRIM($E108))-LEN(SUBSTITUTE(TRIM($E108)," ",""))+1)</f>
        <v/>
      </c>
      <c r="G108" s="16">
        <f>IF($F108="","",IF($F108&gt;76,"너무 김",IF($F108&lt;30,"짧음","좋음")))</f>
        <v/>
      </c>
      <c r="H108" s="16" t="n"/>
      <c r="I108" s="17" t="n"/>
    </row>
    <row r="109">
      <c r="A109" s="13" t="n">
        <v>106</v>
      </c>
      <c r="B109" s="13" t="inlineStr">
        <is>
          <t>2027-01-04</t>
        </is>
      </c>
      <c r="C109" s="13" t="inlineStr">
        <is>
          <t>월</t>
        </is>
      </c>
      <c r="D109" s="14" t="n"/>
      <c r="E109" s="15" t="n"/>
      <c r="F109" s="16">
        <f>IF($E109="","",LEN(SUBSTITUTE($E109," ",""))+LEN(TRIM($E109))-LEN(SUBSTITUTE(TRIM($E109)," ",""))+1)</f>
        <v/>
      </c>
      <c r="G109" s="16">
        <f>IF($F109="","",IF($F109&gt;76,"너무 김",IF($F109&lt;30,"짧음","좋음")))</f>
        <v/>
      </c>
      <c r="H109" s="16" t="n"/>
      <c r="I109" s="17" t="n"/>
    </row>
    <row r="110">
      <c r="A110" s="13" t="n">
        <v>107</v>
      </c>
      <c r="B110" s="13" t="inlineStr">
        <is>
          <t>2027-01-05</t>
        </is>
      </c>
      <c r="C110" s="13" t="inlineStr">
        <is>
          <t>화</t>
        </is>
      </c>
      <c r="D110" s="14" t="n"/>
      <c r="E110" s="15" t="n"/>
      <c r="F110" s="16">
        <f>IF($E110="","",LEN(SUBSTITUTE($E110," ",""))+LEN(TRIM($E110))-LEN(SUBSTITUTE(TRIM($E110)," ",""))+1)</f>
        <v/>
      </c>
      <c r="G110" s="16">
        <f>IF($F110="","",IF($F110&gt;76,"너무 김",IF($F110&lt;30,"짧음","좋음")))</f>
        <v/>
      </c>
      <c r="H110" s="16" t="n"/>
      <c r="I110" s="17" t="n"/>
    </row>
    <row r="111">
      <c r="A111" s="13" t="n">
        <v>108</v>
      </c>
      <c r="B111" s="13" t="inlineStr">
        <is>
          <t>2027-01-06</t>
        </is>
      </c>
      <c r="C111" s="13" t="inlineStr">
        <is>
          <t>수</t>
        </is>
      </c>
      <c r="D111" s="14" t="n"/>
      <c r="E111" s="15" t="n"/>
      <c r="F111" s="16">
        <f>IF($E111="","",LEN(SUBSTITUTE($E111," ",""))+LEN(TRIM($E111))-LEN(SUBSTITUTE(TRIM($E111)," ",""))+1)</f>
        <v/>
      </c>
      <c r="G111" s="16">
        <f>IF($F111="","",IF($F111&gt;76,"너무 김",IF($F111&lt;30,"짧음","좋음")))</f>
        <v/>
      </c>
      <c r="H111" s="16" t="n"/>
      <c r="I111" s="17" t="n"/>
    </row>
    <row r="112">
      <c r="A112" s="13" t="n">
        <v>109</v>
      </c>
      <c r="B112" s="13" t="inlineStr">
        <is>
          <t>2027-01-07</t>
        </is>
      </c>
      <c r="C112" s="13" t="inlineStr">
        <is>
          <t>목</t>
        </is>
      </c>
      <c r="D112" s="14" t="n"/>
      <c r="E112" s="15" t="n"/>
      <c r="F112" s="16">
        <f>IF($E112="","",LEN(SUBSTITUTE($E112," ",""))+LEN(TRIM($E112))-LEN(SUBSTITUTE(TRIM($E112)," ",""))+1)</f>
        <v/>
      </c>
      <c r="G112" s="16">
        <f>IF($F112="","",IF($F112&gt;76,"너무 김",IF($F112&lt;30,"짧음","좋음")))</f>
        <v/>
      </c>
      <c r="H112" s="16" t="n"/>
      <c r="I112" s="17" t="n"/>
    </row>
    <row r="113">
      <c r="A113" s="13" t="n">
        <v>110</v>
      </c>
      <c r="B113" s="13" t="inlineStr">
        <is>
          <t>2027-01-08</t>
        </is>
      </c>
      <c r="C113" s="13" t="inlineStr">
        <is>
          <t>금</t>
        </is>
      </c>
      <c r="D113" s="14" t="n"/>
      <c r="E113" s="15" t="n"/>
      <c r="F113" s="16">
        <f>IF($E113="","",LEN(SUBSTITUTE($E113," ",""))+LEN(TRIM($E113))-LEN(SUBSTITUTE(TRIM($E113)," ",""))+1)</f>
        <v/>
      </c>
      <c r="G113" s="16">
        <f>IF($F113="","",IF($F113&gt;76,"너무 김",IF($F113&lt;30,"짧음","좋음")))</f>
        <v/>
      </c>
      <c r="H113" s="16" t="n"/>
      <c r="I113" s="17" t="n"/>
    </row>
    <row r="114">
      <c r="A114" s="13" t="n">
        <v>111</v>
      </c>
      <c r="B114" s="13" t="inlineStr">
        <is>
          <t>2027-01-09</t>
        </is>
      </c>
      <c r="C114" s="13" t="inlineStr">
        <is>
          <t>토</t>
        </is>
      </c>
      <c r="D114" s="14" t="n"/>
      <c r="E114" s="15" t="n"/>
      <c r="F114" s="16">
        <f>IF($E114="","",LEN(SUBSTITUTE($E114," ",""))+LEN(TRIM($E114))-LEN(SUBSTITUTE(TRIM($E114)," ",""))+1)</f>
        <v/>
      </c>
      <c r="G114" s="16">
        <f>IF($F114="","",IF($F114&gt;76,"너무 김",IF($F114&lt;30,"짧음","좋음")))</f>
        <v/>
      </c>
      <c r="H114" s="16" t="n"/>
      <c r="I114" s="17" t="n"/>
    </row>
    <row r="115">
      <c r="A115" s="13" t="n">
        <v>112</v>
      </c>
      <c r="B115" s="18" t="inlineStr">
        <is>
          <t>2027-01-10</t>
        </is>
      </c>
      <c r="C115" s="19" t="inlineStr">
        <is>
          <t>일</t>
        </is>
      </c>
      <c r="D115" s="14" t="n"/>
      <c r="E115" s="15" t="n"/>
      <c r="F115" s="16">
        <f>IF($E115="","",LEN(SUBSTITUTE($E115," ",""))+LEN(TRIM($E115))-LEN(SUBSTITUTE(TRIM($E115)," ",""))+1)</f>
        <v/>
      </c>
      <c r="G115" s="16">
        <f>IF($F115="","",IF($F115&gt;76,"너무 김",IF($F115&lt;30,"짧음","좋음")))</f>
        <v/>
      </c>
      <c r="H115" s="16" t="n"/>
      <c r="I115" s="17" t="n"/>
    </row>
    <row r="116">
      <c r="A116" s="13" t="n">
        <v>113</v>
      </c>
      <c r="B116" s="13" t="inlineStr">
        <is>
          <t>2027-01-11</t>
        </is>
      </c>
      <c r="C116" s="13" t="inlineStr">
        <is>
          <t>월</t>
        </is>
      </c>
      <c r="D116" s="14" t="n"/>
      <c r="E116" s="15" t="n"/>
      <c r="F116" s="16">
        <f>IF($E116="","",LEN(SUBSTITUTE($E116," ",""))+LEN(TRIM($E116))-LEN(SUBSTITUTE(TRIM($E116)," ",""))+1)</f>
        <v/>
      </c>
      <c r="G116" s="16">
        <f>IF($F116="","",IF($F116&gt;76,"너무 김",IF($F116&lt;30,"짧음","좋음")))</f>
        <v/>
      </c>
      <c r="H116" s="16" t="n"/>
      <c r="I116" s="17" t="n"/>
    </row>
    <row r="117">
      <c r="A117" s="13" t="n">
        <v>114</v>
      </c>
      <c r="B117" s="13" t="inlineStr">
        <is>
          <t>2027-01-12</t>
        </is>
      </c>
      <c r="C117" s="13" t="inlineStr">
        <is>
          <t>화</t>
        </is>
      </c>
      <c r="D117" s="14" t="n"/>
      <c r="E117" s="15" t="n"/>
      <c r="F117" s="16">
        <f>IF($E117="","",LEN(SUBSTITUTE($E117," ",""))+LEN(TRIM($E117))-LEN(SUBSTITUTE(TRIM($E117)," ",""))+1)</f>
        <v/>
      </c>
      <c r="G117" s="16">
        <f>IF($F117="","",IF($F117&gt;76,"너무 김",IF($F117&lt;30,"짧음","좋음")))</f>
        <v/>
      </c>
      <c r="H117" s="16" t="n"/>
      <c r="I117" s="17" t="n"/>
    </row>
    <row r="118">
      <c r="A118" s="13" t="n">
        <v>115</v>
      </c>
      <c r="B118" s="13" t="inlineStr">
        <is>
          <t>2027-01-13</t>
        </is>
      </c>
      <c r="C118" s="13" t="inlineStr">
        <is>
          <t>수</t>
        </is>
      </c>
      <c r="D118" s="14" t="n"/>
      <c r="E118" s="15" t="n"/>
      <c r="F118" s="16">
        <f>IF($E118="","",LEN(SUBSTITUTE($E118," ",""))+LEN(TRIM($E118))-LEN(SUBSTITUTE(TRIM($E118)," ",""))+1)</f>
        <v/>
      </c>
      <c r="G118" s="16">
        <f>IF($F118="","",IF($F118&gt;76,"너무 김",IF($F118&lt;30,"짧음","좋음")))</f>
        <v/>
      </c>
      <c r="H118" s="16" t="n"/>
      <c r="I118" s="17" t="n"/>
    </row>
    <row r="119">
      <c r="A119" s="13" t="n">
        <v>116</v>
      </c>
      <c r="B119" s="13" t="inlineStr">
        <is>
          <t>2027-01-14</t>
        </is>
      </c>
      <c r="C119" s="13" t="inlineStr">
        <is>
          <t>목</t>
        </is>
      </c>
      <c r="D119" s="14" t="n"/>
      <c r="E119" s="15" t="n"/>
      <c r="F119" s="16">
        <f>IF($E119="","",LEN(SUBSTITUTE($E119," ",""))+LEN(TRIM($E119))-LEN(SUBSTITUTE(TRIM($E119)," ",""))+1)</f>
        <v/>
      </c>
      <c r="G119" s="16">
        <f>IF($F119="","",IF($F119&gt;76,"너무 김",IF($F119&lt;30,"짧음","좋음")))</f>
        <v/>
      </c>
      <c r="H119" s="16" t="n"/>
      <c r="I119" s="17" t="n"/>
    </row>
    <row r="120">
      <c r="A120" s="13" t="n">
        <v>117</v>
      </c>
      <c r="B120" s="13" t="inlineStr">
        <is>
          <t>2027-01-15</t>
        </is>
      </c>
      <c r="C120" s="13" t="inlineStr">
        <is>
          <t>금</t>
        </is>
      </c>
      <c r="D120" s="14" t="n"/>
      <c r="E120" s="15" t="n"/>
      <c r="F120" s="16">
        <f>IF($E120="","",LEN(SUBSTITUTE($E120," ",""))+LEN(TRIM($E120))-LEN(SUBSTITUTE(TRIM($E120)," ",""))+1)</f>
        <v/>
      </c>
      <c r="G120" s="16">
        <f>IF($F120="","",IF($F120&gt;76,"너무 김",IF($F120&lt;30,"짧음","좋음")))</f>
        <v/>
      </c>
      <c r="H120" s="16" t="n"/>
      <c r="I120" s="17" t="n"/>
    </row>
    <row r="121">
      <c r="A121" s="13" t="n">
        <v>118</v>
      </c>
      <c r="B121" s="13" t="inlineStr">
        <is>
          <t>2027-01-16</t>
        </is>
      </c>
      <c r="C121" s="13" t="inlineStr">
        <is>
          <t>토</t>
        </is>
      </c>
      <c r="D121" s="14" t="n"/>
      <c r="E121" s="15" t="n"/>
      <c r="F121" s="16">
        <f>IF($E121="","",LEN(SUBSTITUTE($E121," ",""))+LEN(TRIM($E121))-LEN(SUBSTITUTE(TRIM($E121)," ",""))+1)</f>
        <v/>
      </c>
      <c r="G121" s="16">
        <f>IF($F121="","",IF($F121&gt;76,"너무 김",IF($F121&lt;30,"짧음","좋음")))</f>
        <v/>
      </c>
      <c r="H121" s="16" t="n"/>
      <c r="I121" s="17" t="n"/>
    </row>
    <row r="122">
      <c r="A122" s="13" t="n">
        <v>119</v>
      </c>
      <c r="B122" s="18" t="inlineStr">
        <is>
          <t>2027-01-17</t>
        </is>
      </c>
      <c r="C122" s="19" t="inlineStr">
        <is>
          <t>일</t>
        </is>
      </c>
      <c r="D122" s="14" t="n"/>
      <c r="E122" s="15" t="n"/>
      <c r="F122" s="16">
        <f>IF($E122="","",LEN(SUBSTITUTE($E122," ",""))+LEN(TRIM($E122))-LEN(SUBSTITUTE(TRIM($E122)," ",""))+1)</f>
        <v/>
      </c>
      <c r="G122" s="16">
        <f>IF($F122="","",IF($F122&gt;76,"너무 김",IF($F122&lt;30,"짧음","좋음")))</f>
        <v/>
      </c>
      <c r="H122" s="16" t="n"/>
      <c r="I122" s="17" t="n"/>
    </row>
    <row r="123">
      <c r="A123" s="13" t="n">
        <v>120</v>
      </c>
      <c r="B123" s="13" t="inlineStr">
        <is>
          <t>2027-01-18</t>
        </is>
      </c>
      <c r="C123" s="13" t="inlineStr">
        <is>
          <t>월</t>
        </is>
      </c>
      <c r="D123" s="14" t="n"/>
      <c r="E123" s="15" t="n"/>
      <c r="F123" s="16">
        <f>IF($E123="","",LEN(SUBSTITUTE($E123," ",""))+LEN(TRIM($E123))-LEN(SUBSTITUTE(TRIM($E123)," ",""))+1)</f>
        <v/>
      </c>
      <c r="G123" s="16">
        <f>IF($F123="","",IF($F123&gt;76,"너무 김",IF($F123&lt;30,"짧음","좋음")))</f>
        <v/>
      </c>
      <c r="H123" s="16" t="n"/>
      <c r="I123" s="17" t="n"/>
    </row>
    <row r="124">
      <c r="A124" s="13" t="n">
        <v>121</v>
      </c>
      <c r="B124" s="13" t="inlineStr">
        <is>
          <t>2027-01-19</t>
        </is>
      </c>
      <c r="C124" s="13" t="inlineStr">
        <is>
          <t>화</t>
        </is>
      </c>
      <c r="D124" s="14" t="n"/>
      <c r="E124" s="15" t="n"/>
      <c r="F124" s="16">
        <f>IF($E124="","",LEN(SUBSTITUTE($E124," ",""))+LEN(TRIM($E124))-LEN(SUBSTITUTE(TRIM($E124)," ",""))+1)</f>
        <v/>
      </c>
      <c r="G124" s="16">
        <f>IF($F124="","",IF($F124&gt;76,"너무 김",IF($F124&lt;30,"짧음","좋음")))</f>
        <v/>
      </c>
      <c r="H124" s="16" t="n"/>
      <c r="I124" s="17" t="n"/>
    </row>
    <row r="125">
      <c r="A125" s="13" t="n">
        <v>122</v>
      </c>
      <c r="B125" s="13" t="inlineStr">
        <is>
          <t>2027-01-20</t>
        </is>
      </c>
      <c r="C125" s="13" t="inlineStr">
        <is>
          <t>수</t>
        </is>
      </c>
      <c r="D125" s="14" t="n"/>
      <c r="E125" s="15" t="n"/>
      <c r="F125" s="16">
        <f>IF($E125="","",LEN(SUBSTITUTE($E125," ",""))+LEN(TRIM($E125))-LEN(SUBSTITUTE(TRIM($E125)," ",""))+1)</f>
        <v/>
      </c>
      <c r="G125" s="16">
        <f>IF($F125="","",IF($F125&gt;76,"너무 김",IF($F125&lt;30,"짧음","좋음")))</f>
        <v/>
      </c>
      <c r="H125" s="16" t="n"/>
      <c r="I125" s="17" t="n"/>
    </row>
    <row r="126">
      <c r="A126" s="13" t="n">
        <v>123</v>
      </c>
      <c r="B126" s="13" t="inlineStr">
        <is>
          <t>2027-01-21</t>
        </is>
      </c>
      <c r="C126" s="13" t="inlineStr">
        <is>
          <t>목</t>
        </is>
      </c>
      <c r="D126" s="14" t="n"/>
      <c r="E126" s="15" t="n"/>
      <c r="F126" s="16">
        <f>IF($E126="","",LEN(SUBSTITUTE($E126," ",""))+LEN(TRIM($E126))-LEN(SUBSTITUTE(TRIM($E126)," ",""))+1)</f>
        <v/>
      </c>
      <c r="G126" s="16">
        <f>IF($F126="","",IF($F126&gt;76,"너무 김",IF($F126&lt;30,"짧음","좋음")))</f>
        <v/>
      </c>
      <c r="H126" s="16" t="n"/>
      <c r="I126" s="17" t="n"/>
    </row>
    <row r="127">
      <c r="A127" s="13" t="n">
        <v>124</v>
      </c>
      <c r="B127" s="13" t="inlineStr">
        <is>
          <t>2027-01-22</t>
        </is>
      </c>
      <c r="C127" s="13" t="inlineStr">
        <is>
          <t>금</t>
        </is>
      </c>
      <c r="D127" s="14" t="n"/>
      <c r="E127" s="15" t="n"/>
      <c r="F127" s="16">
        <f>IF($E127="","",LEN(SUBSTITUTE($E127," ",""))+LEN(TRIM($E127))-LEN(SUBSTITUTE(TRIM($E127)," ",""))+1)</f>
        <v/>
      </c>
      <c r="G127" s="16">
        <f>IF($F127="","",IF($F127&gt;76,"너무 김",IF($F127&lt;30,"짧음","좋음")))</f>
        <v/>
      </c>
      <c r="H127" s="16" t="n"/>
      <c r="I127" s="17" t="n"/>
    </row>
    <row r="128">
      <c r="A128" s="13" t="n">
        <v>125</v>
      </c>
      <c r="B128" s="13" t="inlineStr">
        <is>
          <t>2027-01-23</t>
        </is>
      </c>
      <c r="C128" s="13" t="inlineStr">
        <is>
          <t>토</t>
        </is>
      </c>
      <c r="D128" s="14" t="n"/>
      <c r="E128" s="15" t="n"/>
      <c r="F128" s="16">
        <f>IF($E128="","",LEN(SUBSTITUTE($E128," ",""))+LEN(TRIM($E128))-LEN(SUBSTITUTE(TRIM($E128)," ",""))+1)</f>
        <v/>
      </c>
      <c r="G128" s="16">
        <f>IF($F128="","",IF($F128&gt;76,"너무 김",IF($F128&lt;30,"짧음","좋음")))</f>
        <v/>
      </c>
      <c r="H128" s="16" t="n"/>
      <c r="I128" s="17" t="n"/>
    </row>
    <row r="129">
      <c r="A129" s="13" t="n">
        <v>126</v>
      </c>
      <c r="B129" s="18" t="inlineStr">
        <is>
          <t>2027-01-24</t>
        </is>
      </c>
      <c r="C129" s="19" t="inlineStr">
        <is>
          <t>일</t>
        </is>
      </c>
      <c r="D129" s="14" t="n"/>
      <c r="E129" s="15" t="n"/>
      <c r="F129" s="16">
        <f>IF($E129="","",LEN(SUBSTITUTE($E129," ",""))+LEN(TRIM($E129))-LEN(SUBSTITUTE(TRIM($E129)," ",""))+1)</f>
        <v/>
      </c>
      <c r="G129" s="16">
        <f>IF($F129="","",IF($F129&gt;76,"너무 김",IF($F129&lt;30,"짧음","좋음")))</f>
        <v/>
      </c>
      <c r="H129" s="16" t="n"/>
      <c r="I129" s="17" t="n"/>
    </row>
    <row r="130">
      <c r="A130" s="13" t="n">
        <v>127</v>
      </c>
      <c r="B130" s="13" t="inlineStr">
        <is>
          <t>2027-01-25</t>
        </is>
      </c>
      <c r="C130" s="13" t="inlineStr">
        <is>
          <t>월</t>
        </is>
      </c>
      <c r="D130" s="14" t="n"/>
      <c r="E130" s="15" t="n"/>
      <c r="F130" s="16">
        <f>IF($E130="","",LEN(SUBSTITUTE($E130," ",""))+LEN(TRIM($E130))-LEN(SUBSTITUTE(TRIM($E130)," ",""))+1)</f>
        <v/>
      </c>
      <c r="G130" s="16">
        <f>IF($F130="","",IF($F130&gt;76,"너무 김",IF($F130&lt;30,"짧음","좋음")))</f>
        <v/>
      </c>
      <c r="H130" s="16" t="n"/>
      <c r="I130" s="17" t="n"/>
    </row>
    <row r="131">
      <c r="A131" s="13" t="n">
        <v>128</v>
      </c>
      <c r="B131" s="13" t="inlineStr">
        <is>
          <t>2027-01-26</t>
        </is>
      </c>
      <c r="C131" s="13" t="inlineStr">
        <is>
          <t>화</t>
        </is>
      </c>
      <c r="D131" s="14" t="n"/>
      <c r="E131" s="15" t="n"/>
      <c r="F131" s="16">
        <f>IF($E131="","",LEN(SUBSTITUTE($E131," ",""))+LEN(TRIM($E131))-LEN(SUBSTITUTE(TRIM($E131)," ",""))+1)</f>
        <v/>
      </c>
      <c r="G131" s="16">
        <f>IF($F131="","",IF($F131&gt;76,"너무 김",IF($F131&lt;30,"짧음","좋음")))</f>
        <v/>
      </c>
      <c r="H131" s="16" t="n"/>
      <c r="I131" s="17" t="n"/>
    </row>
    <row r="132">
      <c r="A132" s="13" t="n">
        <v>129</v>
      </c>
      <c r="B132" s="13" t="inlineStr">
        <is>
          <t>2027-01-27</t>
        </is>
      </c>
      <c r="C132" s="13" t="inlineStr">
        <is>
          <t>수</t>
        </is>
      </c>
      <c r="D132" s="14" t="n"/>
      <c r="E132" s="15" t="n"/>
      <c r="F132" s="16">
        <f>IF($E132="","",LEN(SUBSTITUTE($E132," ",""))+LEN(TRIM($E132))-LEN(SUBSTITUTE(TRIM($E132)," ",""))+1)</f>
        <v/>
      </c>
      <c r="G132" s="16">
        <f>IF($F132="","",IF($F132&gt;76,"너무 김",IF($F132&lt;30,"짧음","좋음")))</f>
        <v/>
      </c>
      <c r="H132" s="16" t="n"/>
      <c r="I132" s="17" t="n"/>
    </row>
    <row r="133">
      <c r="A133" s="13" t="n">
        <v>130</v>
      </c>
      <c r="B133" s="13" t="inlineStr">
        <is>
          <t>2027-01-28</t>
        </is>
      </c>
      <c r="C133" s="13" t="inlineStr">
        <is>
          <t>목</t>
        </is>
      </c>
      <c r="D133" s="14" t="n"/>
      <c r="E133" s="15" t="n"/>
      <c r="F133" s="16">
        <f>IF($E133="","",LEN(SUBSTITUTE($E133," ",""))+LEN(TRIM($E133))-LEN(SUBSTITUTE(TRIM($E133)," ",""))+1)</f>
        <v/>
      </c>
      <c r="G133" s="16">
        <f>IF($F133="","",IF($F133&gt;76,"너무 김",IF($F133&lt;30,"짧음","좋음")))</f>
        <v/>
      </c>
      <c r="H133" s="16" t="n"/>
      <c r="I133" s="17" t="n"/>
    </row>
    <row r="134">
      <c r="A134" s="13" t="n">
        <v>131</v>
      </c>
      <c r="B134" s="13" t="inlineStr">
        <is>
          <t>2027-01-29</t>
        </is>
      </c>
      <c r="C134" s="13" t="inlineStr">
        <is>
          <t>금</t>
        </is>
      </c>
      <c r="D134" s="14" t="n"/>
      <c r="E134" s="15" t="n"/>
      <c r="F134" s="16">
        <f>IF($E134="","",LEN(SUBSTITUTE($E134," ",""))+LEN(TRIM($E134))-LEN(SUBSTITUTE(TRIM($E134)," ",""))+1)</f>
        <v/>
      </c>
      <c r="G134" s="16">
        <f>IF($F134="","",IF($F134&gt;76,"너무 김",IF($F134&lt;30,"짧음","좋음")))</f>
        <v/>
      </c>
      <c r="H134" s="16" t="n"/>
      <c r="I134" s="17" t="n"/>
    </row>
    <row r="135">
      <c r="A135" s="13" t="n">
        <v>132</v>
      </c>
      <c r="B135" s="13" t="inlineStr">
        <is>
          <t>2027-01-30</t>
        </is>
      </c>
      <c r="C135" s="13" t="inlineStr">
        <is>
          <t>토</t>
        </is>
      </c>
      <c r="D135" s="14" t="n"/>
      <c r="E135" s="15" t="n"/>
      <c r="F135" s="16">
        <f>IF($E135="","",LEN(SUBSTITUTE($E135," ",""))+LEN(TRIM($E135))-LEN(SUBSTITUTE(TRIM($E135)," ",""))+1)</f>
        <v/>
      </c>
      <c r="G135" s="16">
        <f>IF($F135="","",IF($F135&gt;76,"너무 김",IF($F135&lt;30,"짧음","좋음")))</f>
        <v/>
      </c>
      <c r="H135" s="16" t="n"/>
      <c r="I135" s="17" t="n"/>
    </row>
    <row r="136">
      <c r="A136" s="13" t="n">
        <v>133</v>
      </c>
      <c r="B136" s="18" t="inlineStr">
        <is>
          <t>2027-01-31</t>
        </is>
      </c>
      <c r="C136" s="19" t="inlineStr">
        <is>
          <t>일</t>
        </is>
      </c>
      <c r="D136" s="14" t="n"/>
      <c r="E136" s="15" t="n"/>
      <c r="F136" s="16">
        <f>IF($E136="","",LEN(SUBSTITUTE($E136," ",""))+LEN(TRIM($E136))-LEN(SUBSTITUTE(TRIM($E136)," ",""))+1)</f>
        <v/>
      </c>
      <c r="G136" s="16">
        <f>IF($F136="","",IF($F136&gt;76,"너무 김",IF($F136&lt;30,"짧음","좋음")))</f>
        <v/>
      </c>
      <c r="H136" s="16" t="n"/>
      <c r="I136" s="17" t="n"/>
    </row>
    <row r="137">
      <c r="A137" s="13" t="n">
        <v>134</v>
      </c>
      <c r="B137" s="13" t="inlineStr">
        <is>
          <t>2027-02-01</t>
        </is>
      </c>
      <c r="C137" s="13" t="inlineStr">
        <is>
          <t>월</t>
        </is>
      </c>
      <c r="D137" s="14" t="n"/>
      <c r="E137" s="15" t="n"/>
      <c r="F137" s="16">
        <f>IF($E137="","",LEN(SUBSTITUTE($E137," ",""))+LEN(TRIM($E137))-LEN(SUBSTITUTE(TRIM($E137)," ",""))+1)</f>
        <v/>
      </c>
      <c r="G137" s="16">
        <f>IF($F137="","",IF($F137&gt;76,"너무 김",IF($F137&lt;30,"짧음","좋음")))</f>
        <v/>
      </c>
      <c r="H137" s="16" t="n"/>
      <c r="I137" s="17" t="n"/>
    </row>
    <row r="138">
      <c r="A138" s="13" t="n">
        <v>135</v>
      </c>
      <c r="B138" s="13" t="inlineStr">
        <is>
          <t>2027-02-02</t>
        </is>
      </c>
      <c r="C138" s="13" t="inlineStr">
        <is>
          <t>화</t>
        </is>
      </c>
      <c r="D138" s="14" t="n"/>
      <c r="E138" s="15" t="n"/>
      <c r="F138" s="16">
        <f>IF($E138="","",LEN(SUBSTITUTE($E138," ",""))+LEN(TRIM($E138))-LEN(SUBSTITUTE(TRIM($E138)," ",""))+1)</f>
        <v/>
      </c>
      <c r="G138" s="16">
        <f>IF($F138="","",IF($F138&gt;76,"너무 김",IF($F138&lt;30,"짧음","좋음")))</f>
        <v/>
      </c>
      <c r="H138" s="16" t="n"/>
      <c r="I138" s="17" t="n"/>
    </row>
    <row r="139">
      <c r="A139" s="13" t="n">
        <v>136</v>
      </c>
      <c r="B139" s="13" t="inlineStr">
        <is>
          <t>2027-02-03</t>
        </is>
      </c>
      <c r="C139" s="13" t="inlineStr">
        <is>
          <t>수</t>
        </is>
      </c>
      <c r="D139" s="14" t="n"/>
      <c r="E139" s="15" t="n"/>
      <c r="F139" s="16">
        <f>IF($E139="","",LEN(SUBSTITUTE($E139," ",""))+LEN(TRIM($E139))-LEN(SUBSTITUTE(TRIM($E139)," ",""))+1)</f>
        <v/>
      </c>
      <c r="G139" s="16">
        <f>IF($F139="","",IF($F139&gt;76,"너무 김",IF($F139&lt;30,"짧음","좋음")))</f>
        <v/>
      </c>
      <c r="H139" s="16" t="n"/>
      <c r="I139" s="17" t="n"/>
    </row>
    <row r="140">
      <c r="A140" s="13" t="n">
        <v>137</v>
      </c>
      <c r="B140" s="13" t="inlineStr">
        <is>
          <t>2027-02-04</t>
        </is>
      </c>
      <c r="C140" s="13" t="inlineStr">
        <is>
          <t>목</t>
        </is>
      </c>
      <c r="D140" s="14" t="n"/>
      <c r="E140" s="15" t="n"/>
      <c r="F140" s="16">
        <f>IF($E140="","",LEN(SUBSTITUTE($E140," ",""))+LEN(TRIM($E140))-LEN(SUBSTITUTE(TRIM($E140)," ",""))+1)</f>
        <v/>
      </c>
      <c r="G140" s="16">
        <f>IF($F140="","",IF($F140&gt;76,"너무 김",IF($F140&lt;30,"짧음","좋음")))</f>
        <v/>
      </c>
      <c r="H140" s="16" t="n"/>
      <c r="I140" s="17" t="n"/>
    </row>
    <row r="141">
      <c r="A141" s="13" t="n">
        <v>138</v>
      </c>
      <c r="B141" s="13" t="inlineStr">
        <is>
          <t>2027-02-05</t>
        </is>
      </c>
      <c r="C141" s="13" t="inlineStr">
        <is>
          <t>금</t>
        </is>
      </c>
      <c r="D141" s="14" t="n"/>
      <c r="E141" s="15" t="n"/>
      <c r="F141" s="16">
        <f>IF($E141="","",LEN(SUBSTITUTE($E141," ",""))+LEN(TRIM($E141))-LEN(SUBSTITUTE(TRIM($E141)," ",""))+1)</f>
        <v/>
      </c>
      <c r="G141" s="16">
        <f>IF($F141="","",IF($F141&gt;76,"너무 김",IF($F141&lt;30,"짧음","좋음")))</f>
        <v/>
      </c>
      <c r="H141" s="16" t="n"/>
      <c r="I141" s="17" t="n"/>
    </row>
    <row r="142">
      <c r="A142" s="13" t="n">
        <v>139</v>
      </c>
      <c r="B142" s="13" t="inlineStr">
        <is>
          <t>2027-02-06</t>
        </is>
      </c>
      <c r="C142" s="13" t="inlineStr">
        <is>
          <t>토</t>
        </is>
      </c>
      <c r="D142" s="14" t="n"/>
      <c r="E142" s="15" t="n"/>
      <c r="F142" s="16">
        <f>IF($E142="","",LEN(SUBSTITUTE($E142," ",""))+LEN(TRIM($E142))-LEN(SUBSTITUTE(TRIM($E142)," ",""))+1)</f>
        <v/>
      </c>
      <c r="G142" s="16">
        <f>IF($F142="","",IF($F142&gt;76,"너무 김",IF($F142&lt;30,"짧음","좋음")))</f>
        <v/>
      </c>
      <c r="H142" s="16" t="n"/>
      <c r="I142" s="17" t="n"/>
    </row>
    <row r="143">
      <c r="A143" s="13" t="n">
        <v>140</v>
      </c>
      <c r="B143" s="18" t="inlineStr">
        <is>
          <t>2027-02-07</t>
        </is>
      </c>
      <c r="C143" s="19" t="inlineStr">
        <is>
          <t>일</t>
        </is>
      </c>
      <c r="D143" s="14" t="n"/>
      <c r="E143" s="15" t="n"/>
      <c r="F143" s="16">
        <f>IF($E143="","",LEN(SUBSTITUTE($E143," ",""))+LEN(TRIM($E143))-LEN(SUBSTITUTE(TRIM($E143)," ",""))+1)</f>
        <v/>
      </c>
      <c r="G143" s="16">
        <f>IF($F143="","",IF($F143&gt;76,"너무 김",IF($F143&lt;30,"짧음","좋음")))</f>
        <v/>
      </c>
      <c r="H143" s="16" t="n"/>
      <c r="I143" s="17" t="n"/>
    </row>
    <row r="144">
      <c r="A144" s="13" t="n">
        <v>141</v>
      </c>
      <c r="B144" s="13" t="inlineStr">
        <is>
          <t>2027-02-08</t>
        </is>
      </c>
      <c r="C144" s="13" t="inlineStr">
        <is>
          <t>월</t>
        </is>
      </c>
      <c r="D144" s="14" t="n"/>
      <c r="E144" s="15" t="n"/>
      <c r="F144" s="16">
        <f>IF($E144="","",LEN(SUBSTITUTE($E144," ",""))+LEN(TRIM($E144))-LEN(SUBSTITUTE(TRIM($E144)," ",""))+1)</f>
        <v/>
      </c>
      <c r="G144" s="16">
        <f>IF($F144="","",IF($F144&gt;76,"너무 김",IF($F144&lt;30,"짧음","좋음")))</f>
        <v/>
      </c>
      <c r="H144" s="16" t="n"/>
      <c r="I144" s="17" t="n"/>
    </row>
    <row r="145">
      <c r="A145" s="13" t="n">
        <v>142</v>
      </c>
      <c r="B145" s="13" t="inlineStr">
        <is>
          <t>2027-02-09</t>
        </is>
      </c>
      <c r="C145" s="13" t="inlineStr">
        <is>
          <t>화</t>
        </is>
      </c>
      <c r="D145" s="14" t="n"/>
      <c r="E145" s="15" t="n"/>
      <c r="F145" s="16">
        <f>IF($E145="","",LEN(SUBSTITUTE($E145," ",""))+LEN(TRIM($E145))-LEN(SUBSTITUTE(TRIM($E145)," ",""))+1)</f>
        <v/>
      </c>
      <c r="G145" s="16">
        <f>IF($F145="","",IF($F145&gt;76,"너무 김",IF($F145&lt;30,"짧음","좋음")))</f>
        <v/>
      </c>
      <c r="H145" s="16" t="n"/>
      <c r="I145" s="17" t="n"/>
    </row>
    <row r="146">
      <c r="A146" s="13" t="n">
        <v>143</v>
      </c>
      <c r="B146" s="13" t="inlineStr">
        <is>
          <t>2027-02-10</t>
        </is>
      </c>
      <c r="C146" s="13" t="inlineStr">
        <is>
          <t>수</t>
        </is>
      </c>
      <c r="D146" s="14" t="n"/>
      <c r="E146" s="15" t="n"/>
      <c r="F146" s="16">
        <f>IF($E146="","",LEN(SUBSTITUTE($E146," ",""))+LEN(TRIM($E146))-LEN(SUBSTITUTE(TRIM($E146)," ",""))+1)</f>
        <v/>
      </c>
      <c r="G146" s="16">
        <f>IF($F146="","",IF($F146&gt;76,"너무 김",IF($F146&lt;30,"짧음","좋음")))</f>
        <v/>
      </c>
      <c r="H146" s="16" t="n"/>
      <c r="I146" s="17" t="n"/>
    </row>
    <row r="147">
      <c r="A147" s="13" t="n">
        <v>144</v>
      </c>
      <c r="B147" s="13" t="inlineStr">
        <is>
          <t>2027-02-11</t>
        </is>
      </c>
      <c r="C147" s="13" t="inlineStr">
        <is>
          <t>목</t>
        </is>
      </c>
      <c r="D147" s="14" t="n"/>
      <c r="E147" s="15" t="n"/>
      <c r="F147" s="16">
        <f>IF($E147="","",LEN(SUBSTITUTE($E147," ",""))+LEN(TRIM($E147))-LEN(SUBSTITUTE(TRIM($E147)," ",""))+1)</f>
        <v/>
      </c>
      <c r="G147" s="16">
        <f>IF($F147="","",IF($F147&gt;76,"너무 김",IF($F147&lt;30,"짧음","좋음")))</f>
        <v/>
      </c>
      <c r="H147" s="16" t="n"/>
      <c r="I147" s="17" t="n"/>
    </row>
    <row r="148">
      <c r="A148" s="13" t="n">
        <v>145</v>
      </c>
      <c r="B148" s="13" t="inlineStr">
        <is>
          <t>2027-02-12</t>
        </is>
      </c>
      <c r="C148" s="13" t="inlineStr">
        <is>
          <t>금</t>
        </is>
      </c>
      <c r="D148" s="14" t="n"/>
      <c r="E148" s="15" t="n"/>
      <c r="F148" s="16">
        <f>IF($E148="","",LEN(SUBSTITUTE($E148," ",""))+LEN(TRIM($E148))-LEN(SUBSTITUTE(TRIM($E148)," ",""))+1)</f>
        <v/>
      </c>
      <c r="G148" s="16">
        <f>IF($F148="","",IF($F148&gt;76,"너무 김",IF($F148&lt;30,"짧음","좋음")))</f>
        <v/>
      </c>
      <c r="H148" s="16" t="n"/>
      <c r="I148" s="17" t="n"/>
    </row>
    <row r="149">
      <c r="A149" s="13" t="n">
        <v>146</v>
      </c>
      <c r="B149" s="13" t="inlineStr">
        <is>
          <t>2027-02-13</t>
        </is>
      </c>
      <c r="C149" s="13" t="inlineStr">
        <is>
          <t>토</t>
        </is>
      </c>
      <c r="D149" s="14" t="n"/>
      <c r="E149" s="15" t="n"/>
      <c r="F149" s="16">
        <f>IF($E149="","",LEN(SUBSTITUTE($E149," ",""))+LEN(TRIM($E149))-LEN(SUBSTITUTE(TRIM($E149)," ",""))+1)</f>
        <v/>
      </c>
      <c r="G149" s="16">
        <f>IF($F149="","",IF($F149&gt;76,"너무 김",IF($F149&lt;30,"짧음","좋음")))</f>
        <v/>
      </c>
      <c r="H149" s="16" t="n"/>
      <c r="I149" s="17" t="n"/>
    </row>
    <row r="150">
      <c r="A150" s="13" t="n">
        <v>147</v>
      </c>
      <c r="B150" s="18" t="inlineStr">
        <is>
          <t>2027-02-14</t>
        </is>
      </c>
      <c r="C150" s="19" t="inlineStr">
        <is>
          <t>일</t>
        </is>
      </c>
      <c r="D150" s="14" t="n"/>
      <c r="E150" s="15" t="n"/>
      <c r="F150" s="16">
        <f>IF($E150="","",LEN(SUBSTITUTE($E150," ",""))+LEN(TRIM($E150))-LEN(SUBSTITUTE(TRIM($E150)," ",""))+1)</f>
        <v/>
      </c>
      <c r="G150" s="16">
        <f>IF($F150="","",IF($F150&gt;76,"너무 김",IF($F150&lt;30,"짧음","좋음")))</f>
        <v/>
      </c>
      <c r="H150" s="16" t="n"/>
      <c r="I150" s="17" t="n"/>
    </row>
    <row r="151">
      <c r="A151" s="13" t="n">
        <v>148</v>
      </c>
      <c r="B151" s="13" t="inlineStr">
        <is>
          <t>2027-02-15</t>
        </is>
      </c>
      <c r="C151" s="13" t="inlineStr">
        <is>
          <t>월</t>
        </is>
      </c>
      <c r="D151" s="14" t="n"/>
      <c r="E151" s="15" t="n"/>
      <c r="F151" s="16">
        <f>IF($E151="","",LEN(SUBSTITUTE($E151," ",""))+LEN(TRIM($E151))-LEN(SUBSTITUTE(TRIM($E151)," ",""))+1)</f>
        <v/>
      </c>
      <c r="G151" s="16">
        <f>IF($F151="","",IF($F151&gt;76,"너무 김",IF($F151&lt;30,"짧음","좋음")))</f>
        <v/>
      </c>
      <c r="H151" s="16" t="n"/>
      <c r="I151" s="17" t="n"/>
    </row>
    <row r="152">
      <c r="A152" s="13" t="n">
        <v>149</v>
      </c>
      <c r="B152" s="13" t="inlineStr">
        <is>
          <t>2027-02-16</t>
        </is>
      </c>
      <c r="C152" s="13" t="inlineStr">
        <is>
          <t>화</t>
        </is>
      </c>
      <c r="D152" s="14" t="n"/>
      <c r="E152" s="15" t="n"/>
      <c r="F152" s="16">
        <f>IF($E152="","",LEN(SUBSTITUTE($E152," ",""))+LEN(TRIM($E152))-LEN(SUBSTITUTE(TRIM($E152)," ",""))+1)</f>
        <v/>
      </c>
      <c r="G152" s="16">
        <f>IF($F152="","",IF($F152&gt;76,"너무 김",IF($F152&lt;30,"짧음","좋음")))</f>
        <v/>
      </c>
      <c r="H152" s="16" t="n"/>
      <c r="I152" s="17" t="n"/>
    </row>
    <row r="153">
      <c r="A153" s="13" t="n">
        <v>150</v>
      </c>
      <c r="B153" s="13" t="inlineStr">
        <is>
          <t>2027-02-17</t>
        </is>
      </c>
      <c r="C153" s="13" t="inlineStr">
        <is>
          <t>수</t>
        </is>
      </c>
      <c r="D153" s="14" t="n"/>
      <c r="E153" s="15" t="n"/>
      <c r="F153" s="16">
        <f>IF($E153="","",LEN(SUBSTITUTE($E153," ",""))+LEN(TRIM($E153))-LEN(SUBSTITUTE(TRIM($E153)," ",""))+1)</f>
        <v/>
      </c>
      <c r="G153" s="16">
        <f>IF($F153="","",IF($F153&gt;76,"너무 김",IF($F153&lt;30,"짧음","좋음")))</f>
        <v/>
      </c>
      <c r="H153" s="16" t="n"/>
      <c r="I153" s="17" t="n"/>
    </row>
    <row r="154">
      <c r="A154" s="13" t="n">
        <v>151</v>
      </c>
      <c r="B154" s="13" t="inlineStr">
        <is>
          <t>2027-02-18</t>
        </is>
      </c>
      <c r="C154" s="13" t="inlineStr">
        <is>
          <t>목</t>
        </is>
      </c>
      <c r="D154" s="14" t="n"/>
      <c r="E154" s="15" t="n"/>
      <c r="F154" s="16">
        <f>IF($E154="","",LEN(SUBSTITUTE($E154," ",""))+LEN(TRIM($E154))-LEN(SUBSTITUTE(TRIM($E154)," ",""))+1)</f>
        <v/>
      </c>
      <c r="G154" s="16">
        <f>IF($F154="","",IF($F154&gt;76,"너무 김",IF($F154&lt;30,"짧음","좋음")))</f>
        <v/>
      </c>
      <c r="H154" s="16" t="n"/>
      <c r="I154" s="17" t="n"/>
    </row>
    <row r="155">
      <c r="A155" s="13" t="n">
        <v>152</v>
      </c>
      <c r="B155" s="13" t="inlineStr">
        <is>
          <t>2027-02-19</t>
        </is>
      </c>
      <c r="C155" s="13" t="inlineStr">
        <is>
          <t>금</t>
        </is>
      </c>
      <c r="D155" s="14" t="n"/>
      <c r="E155" s="15" t="n"/>
      <c r="F155" s="16">
        <f>IF($E155="","",LEN(SUBSTITUTE($E155," ",""))+LEN(TRIM($E155))-LEN(SUBSTITUTE(TRIM($E155)," ",""))+1)</f>
        <v/>
      </c>
      <c r="G155" s="16">
        <f>IF($F155="","",IF($F155&gt;76,"너무 김",IF($F155&lt;30,"짧음","좋음")))</f>
        <v/>
      </c>
      <c r="H155" s="16" t="n"/>
      <c r="I155" s="17" t="n"/>
    </row>
    <row r="156">
      <c r="A156" s="13" t="n">
        <v>153</v>
      </c>
      <c r="B156" s="13" t="inlineStr">
        <is>
          <t>2027-02-20</t>
        </is>
      </c>
      <c r="C156" s="13" t="inlineStr">
        <is>
          <t>토</t>
        </is>
      </c>
      <c r="D156" s="14" t="n"/>
      <c r="E156" s="15" t="n"/>
      <c r="F156" s="16">
        <f>IF($E156="","",LEN(SUBSTITUTE($E156," ",""))+LEN(TRIM($E156))-LEN(SUBSTITUTE(TRIM($E156)," ",""))+1)</f>
        <v/>
      </c>
      <c r="G156" s="16">
        <f>IF($F156="","",IF($F156&gt;76,"너무 김",IF($F156&lt;30,"짧음","좋음")))</f>
        <v/>
      </c>
      <c r="H156" s="16" t="n"/>
      <c r="I156" s="17" t="n"/>
    </row>
    <row r="157">
      <c r="A157" s="13" t="n">
        <v>154</v>
      </c>
      <c r="B157" s="18" t="inlineStr">
        <is>
          <t>2027-02-21</t>
        </is>
      </c>
      <c r="C157" s="19" t="inlineStr">
        <is>
          <t>일</t>
        </is>
      </c>
      <c r="D157" s="14" t="n"/>
      <c r="E157" s="15" t="n"/>
      <c r="F157" s="16">
        <f>IF($E157="","",LEN(SUBSTITUTE($E157," ",""))+LEN(TRIM($E157))-LEN(SUBSTITUTE(TRIM($E157)," ",""))+1)</f>
        <v/>
      </c>
      <c r="G157" s="16">
        <f>IF($F157="","",IF($F157&gt;76,"너무 김",IF($F157&lt;30,"짧음","좋음")))</f>
        <v/>
      </c>
      <c r="H157" s="16" t="n"/>
      <c r="I157" s="17" t="n"/>
    </row>
    <row r="158">
      <c r="A158" s="13" t="n">
        <v>155</v>
      </c>
      <c r="B158" s="13" t="inlineStr">
        <is>
          <t>2027-02-22</t>
        </is>
      </c>
      <c r="C158" s="13" t="inlineStr">
        <is>
          <t>월</t>
        </is>
      </c>
      <c r="D158" s="14" t="n"/>
      <c r="E158" s="15" t="n"/>
      <c r="F158" s="16">
        <f>IF($E158="","",LEN(SUBSTITUTE($E158," ",""))+LEN(TRIM($E158))-LEN(SUBSTITUTE(TRIM($E158)," ",""))+1)</f>
        <v/>
      </c>
      <c r="G158" s="16">
        <f>IF($F158="","",IF($F158&gt;76,"너무 김",IF($F158&lt;30,"짧음","좋음")))</f>
        <v/>
      </c>
      <c r="H158" s="16" t="n"/>
      <c r="I158" s="17" t="n"/>
    </row>
    <row r="159">
      <c r="A159" s="13" t="n">
        <v>156</v>
      </c>
      <c r="B159" s="13" t="inlineStr">
        <is>
          <t>2027-02-23</t>
        </is>
      </c>
      <c r="C159" s="13" t="inlineStr">
        <is>
          <t>화</t>
        </is>
      </c>
      <c r="D159" s="14" t="n"/>
      <c r="E159" s="15" t="n"/>
      <c r="F159" s="16">
        <f>IF($E159="","",LEN(SUBSTITUTE($E159," ",""))+LEN(TRIM($E159))-LEN(SUBSTITUTE(TRIM($E159)," ",""))+1)</f>
        <v/>
      </c>
      <c r="G159" s="16">
        <f>IF($F159="","",IF($F159&gt;76,"너무 김",IF($F159&lt;30,"짧음","좋음")))</f>
        <v/>
      </c>
      <c r="H159" s="16" t="n"/>
      <c r="I159" s="17" t="n"/>
    </row>
    <row r="160">
      <c r="A160" s="13" t="n">
        <v>157</v>
      </c>
      <c r="B160" s="13" t="inlineStr">
        <is>
          <t>2027-02-24</t>
        </is>
      </c>
      <c r="C160" s="13" t="inlineStr">
        <is>
          <t>수</t>
        </is>
      </c>
      <c r="D160" s="14" t="n"/>
      <c r="E160" s="15" t="n"/>
      <c r="F160" s="16">
        <f>IF($E160="","",LEN(SUBSTITUTE($E160," ",""))+LEN(TRIM($E160))-LEN(SUBSTITUTE(TRIM($E160)," ",""))+1)</f>
        <v/>
      </c>
      <c r="G160" s="16">
        <f>IF($F160="","",IF($F160&gt;76,"너무 김",IF($F160&lt;30,"짧음","좋음")))</f>
        <v/>
      </c>
      <c r="H160" s="16" t="n"/>
      <c r="I160" s="17" t="n"/>
    </row>
    <row r="161">
      <c r="A161" s="13" t="n">
        <v>158</v>
      </c>
      <c r="B161" s="13" t="inlineStr">
        <is>
          <t>2027-02-25</t>
        </is>
      </c>
      <c r="C161" s="13" t="inlineStr">
        <is>
          <t>목</t>
        </is>
      </c>
      <c r="D161" s="14" t="n"/>
      <c r="E161" s="15" t="n"/>
      <c r="F161" s="16">
        <f>IF($E161="","",LEN(SUBSTITUTE($E161," ",""))+LEN(TRIM($E161))-LEN(SUBSTITUTE(TRIM($E161)," ",""))+1)</f>
        <v/>
      </c>
      <c r="G161" s="16">
        <f>IF($F161="","",IF($F161&gt;76,"너무 김",IF($F161&lt;30,"짧음","좋음")))</f>
        <v/>
      </c>
      <c r="H161" s="16" t="n"/>
      <c r="I161" s="17" t="n"/>
    </row>
    <row r="162">
      <c r="A162" s="13" t="n">
        <v>159</v>
      </c>
      <c r="B162" s="13" t="inlineStr">
        <is>
          <t>2027-02-26</t>
        </is>
      </c>
      <c r="C162" s="13" t="inlineStr">
        <is>
          <t>금</t>
        </is>
      </c>
      <c r="D162" s="14" t="n"/>
      <c r="E162" s="15" t="n"/>
      <c r="F162" s="16">
        <f>IF($E162="","",LEN(SUBSTITUTE($E162," ",""))+LEN(TRIM($E162))-LEN(SUBSTITUTE(TRIM($E162)," ",""))+1)</f>
        <v/>
      </c>
      <c r="G162" s="16">
        <f>IF($F162="","",IF($F162&gt;76,"너무 김",IF($F162&lt;30,"짧음","좋음")))</f>
        <v/>
      </c>
      <c r="H162" s="16" t="n"/>
      <c r="I162" s="17" t="n"/>
    </row>
    <row r="163">
      <c r="A163" s="13" t="n">
        <v>160</v>
      </c>
      <c r="B163" s="13" t="inlineStr">
        <is>
          <t>2027-02-27</t>
        </is>
      </c>
      <c r="C163" s="13" t="inlineStr">
        <is>
          <t>토</t>
        </is>
      </c>
      <c r="D163" s="14" t="n"/>
      <c r="E163" s="15" t="n"/>
      <c r="F163" s="16">
        <f>IF($E163="","",LEN(SUBSTITUTE($E163," ",""))+LEN(TRIM($E163))-LEN(SUBSTITUTE(TRIM($E163)," ",""))+1)</f>
        <v/>
      </c>
      <c r="G163" s="16">
        <f>IF($F163="","",IF($F163&gt;76,"너무 김",IF($F163&lt;30,"짧음","좋음")))</f>
        <v/>
      </c>
      <c r="H163" s="16" t="n"/>
      <c r="I163" s="17" t="n"/>
    </row>
    <row r="164">
      <c r="A164" s="13" t="n">
        <v>161</v>
      </c>
      <c r="B164" s="18" t="inlineStr">
        <is>
          <t>2027-02-28</t>
        </is>
      </c>
      <c r="C164" s="19" t="inlineStr">
        <is>
          <t>일</t>
        </is>
      </c>
      <c r="D164" s="14" t="n"/>
      <c r="E164" s="15" t="n"/>
      <c r="F164" s="16">
        <f>IF($E164="","",LEN(SUBSTITUTE($E164," ",""))+LEN(TRIM($E164))-LEN(SUBSTITUTE(TRIM($E164)," ",""))+1)</f>
        <v/>
      </c>
      <c r="G164" s="16">
        <f>IF($F164="","",IF($F164&gt;76,"너무 김",IF($F164&lt;30,"짧음","좋음")))</f>
        <v/>
      </c>
      <c r="H164" s="16" t="n"/>
      <c r="I164" s="17" t="n"/>
    </row>
    <row r="165">
      <c r="A165" s="13" t="n">
        <v>162</v>
      </c>
      <c r="B165" s="13" t="inlineStr">
        <is>
          <t>2027-03-01</t>
        </is>
      </c>
      <c r="C165" s="13" t="inlineStr">
        <is>
          <t>월</t>
        </is>
      </c>
      <c r="D165" s="14" t="n"/>
      <c r="E165" s="15" t="n"/>
      <c r="F165" s="16">
        <f>IF($E165="","",LEN(SUBSTITUTE($E165," ",""))+LEN(TRIM($E165))-LEN(SUBSTITUTE(TRIM($E165)," ",""))+1)</f>
        <v/>
      </c>
      <c r="G165" s="16">
        <f>IF($F165="","",IF($F165&gt;76,"너무 김",IF($F165&lt;30,"짧음","좋음")))</f>
        <v/>
      </c>
      <c r="H165" s="16" t="n"/>
      <c r="I165" s="17" t="n"/>
    </row>
    <row r="166">
      <c r="A166" s="13" t="n">
        <v>163</v>
      </c>
      <c r="B166" s="13" t="inlineStr">
        <is>
          <t>2027-03-02</t>
        </is>
      </c>
      <c r="C166" s="13" t="inlineStr">
        <is>
          <t>화</t>
        </is>
      </c>
      <c r="D166" s="14" t="n"/>
      <c r="E166" s="15" t="n"/>
      <c r="F166" s="16">
        <f>IF($E166="","",LEN(SUBSTITUTE($E166," ",""))+LEN(TRIM($E166))-LEN(SUBSTITUTE(TRIM($E166)," ",""))+1)</f>
        <v/>
      </c>
      <c r="G166" s="16">
        <f>IF($F166="","",IF($F166&gt;76,"너무 김",IF($F166&lt;30,"짧음","좋음")))</f>
        <v/>
      </c>
      <c r="H166" s="16" t="n"/>
      <c r="I166" s="17" t="n"/>
    </row>
    <row r="167">
      <c r="A167" s="13" t="n">
        <v>164</v>
      </c>
      <c r="B167" s="13" t="inlineStr">
        <is>
          <t>2027-03-03</t>
        </is>
      </c>
      <c r="C167" s="13" t="inlineStr">
        <is>
          <t>수</t>
        </is>
      </c>
      <c r="D167" s="14" t="n"/>
      <c r="E167" s="15" t="n"/>
      <c r="F167" s="16">
        <f>IF($E167="","",LEN(SUBSTITUTE($E167," ",""))+LEN(TRIM($E167))-LEN(SUBSTITUTE(TRIM($E167)," ",""))+1)</f>
        <v/>
      </c>
      <c r="G167" s="16">
        <f>IF($F167="","",IF($F167&gt;76,"너무 김",IF($F167&lt;30,"짧음","좋음")))</f>
        <v/>
      </c>
      <c r="H167" s="16" t="n"/>
      <c r="I167" s="17" t="n"/>
    </row>
    <row r="168">
      <c r="A168" s="13" t="n">
        <v>165</v>
      </c>
      <c r="B168" s="13" t="inlineStr">
        <is>
          <t>2027-03-04</t>
        </is>
      </c>
      <c r="C168" s="13" t="inlineStr">
        <is>
          <t>목</t>
        </is>
      </c>
      <c r="D168" s="14" t="n"/>
      <c r="E168" s="15" t="n"/>
      <c r="F168" s="16">
        <f>IF($E168="","",LEN(SUBSTITUTE($E168," ",""))+LEN(TRIM($E168))-LEN(SUBSTITUTE(TRIM($E168)," ",""))+1)</f>
        <v/>
      </c>
      <c r="G168" s="16">
        <f>IF($F168="","",IF($F168&gt;76,"너무 김",IF($F168&lt;30,"짧음","좋음")))</f>
        <v/>
      </c>
      <c r="H168" s="16" t="n"/>
      <c r="I168" s="17" t="n"/>
    </row>
    <row r="169">
      <c r="A169" s="13" t="n">
        <v>166</v>
      </c>
      <c r="B169" s="13" t="inlineStr">
        <is>
          <t>2027-03-05</t>
        </is>
      </c>
      <c r="C169" s="13" t="inlineStr">
        <is>
          <t>금</t>
        </is>
      </c>
      <c r="D169" s="14" t="n"/>
      <c r="E169" s="15" t="n"/>
      <c r="F169" s="16">
        <f>IF($E169="","",LEN(SUBSTITUTE($E169," ",""))+LEN(TRIM($E169))-LEN(SUBSTITUTE(TRIM($E169)," ",""))+1)</f>
        <v/>
      </c>
      <c r="G169" s="16">
        <f>IF($F169="","",IF($F169&gt;76,"너무 김",IF($F169&lt;30,"짧음","좋음")))</f>
        <v/>
      </c>
      <c r="H169" s="16" t="n"/>
      <c r="I169" s="17" t="n"/>
    </row>
    <row r="170">
      <c r="A170" s="13" t="n">
        <v>167</v>
      </c>
      <c r="B170" s="13" t="inlineStr">
        <is>
          <t>2027-03-06</t>
        </is>
      </c>
      <c r="C170" s="13" t="inlineStr">
        <is>
          <t>토</t>
        </is>
      </c>
      <c r="D170" s="14" t="n"/>
      <c r="E170" s="15" t="n"/>
      <c r="F170" s="16">
        <f>IF($E170="","",LEN(SUBSTITUTE($E170," ",""))+LEN(TRIM($E170))-LEN(SUBSTITUTE(TRIM($E170)," ",""))+1)</f>
        <v/>
      </c>
      <c r="G170" s="16">
        <f>IF($F170="","",IF($F170&gt;76,"너무 김",IF($F170&lt;30,"짧음","좋음")))</f>
        <v/>
      </c>
      <c r="H170" s="16" t="n"/>
      <c r="I170" s="17" t="n"/>
    </row>
    <row r="171">
      <c r="A171" s="13" t="n">
        <v>168</v>
      </c>
      <c r="B171" s="18" t="inlineStr">
        <is>
          <t>2027-03-07</t>
        </is>
      </c>
      <c r="C171" s="19" t="inlineStr">
        <is>
          <t>일</t>
        </is>
      </c>
      <c r="D171" s="14" t="n"/>
      <c r="E171" s="15" t="n"/>
      <c r="F171" s="16">
        <f>IF($E171="","",LEN(SUBSTITUTE($E171," ",""))+LEN(TRIM($E171))-LEN(SUBSTITUTE(TRIM($E171)," ",""))+1)</f>
        <v/>
      </c>
      <c r="G171" s="16">
        <f>IF($F171="","",IF($F171&gt;76,"너무 김",IF($F171&lt;30,"짧음","좋음")))</f>
        <v/>
      </c>
      <c r="H171" s="16" t="n"/>
      <c r="I171" s="17" t="n"/>
    </row>
    <row r="172">
      <c r="A172" s="13" t="n">
        <v>169</v>
      </c>
      <c r="B172" s="13" t="inlineStr">
        <is>
          <t>2027-03-08</t>
        </is>
      </c>
      <c r="C172" s="13" t="inlineStr">
        <is>
          <t>월</t>
        </is>
      </c>
      <c r="D172" s="14" t="n"/>
      <c r="E172" s="15" t="n"/>
      <c r="F172" s="16">
        <f>IF($E172="","",LEN(SUBSTITUTE($E172," ",""))+LEN(TRIM($E172))-LEN(SUBSTITUTE(TRIM($E172)," ",""))+1)</f>
        <v/>
      </c>
      <c r="G172" s="16">
        <f>IF($F172="","",IF($F172&gt;76,"너무 김",IF($F172&lt;30,"짧음","좋음")))</f>
        <v/>
      </c>
      <c r="H172" s="16" t="n"/>
      <c r="I172" s="17" t="n"/>
    </row>
    <row r="173">
      <c r="A173" s="13" t="n">
        <v>170</v>
      </c>
      <c r="B173" s="13" t="inlineStr">
        <is>
          <t>2027-03-09</t>
        </is>
      </c>
      <c r="C173" s="13" t="inlineStr">
        <is>
          <t>화</t>
        </is>
      </c>
      <c r="D173" s="14" t="n"/>
      <c r="E173" s="15" t="n"/>
      <c r="F173" s="16">
        <f>IF($E173="","",LEN(SUBSTITUTE($E173," ",""))+LEN(TRIM($E173))-LEN(SUBSTITUTE(TRIM($E173)," ",""))+1)</f>
        <v/>
      </c>
      <c r="G173" s="16">
        <f>IF($F173="","",IF($F173&gt;76,"너무 김",IF($F173&lt;30,"짧음","좋음")))</f>
        <v/>
      </c>
      <c r="H173" s="16" t="n"/>
      <c r="I173" s="17" t="n"/>
    </row>
    <row r="174">
      <c r="A174" s="13" t="n">
        <v>171</v>
      </c>
      <c r="B174" s="13" t="inlineStr">
        <is>
          <t>2027-03-10</t>
        </is>
      </c>
      <c r="C174" s="13" t="inlineStr">
        <is>
          <t>수</t>
        </is>
      </c>
      <c r="D174" s="14" t="n"/>
      <c r="E174" s="15" t="n"/>
      <c r="F174" s="16">
        <f>IF($E174="","",LEN(SUBSTITUTE($E174," ",""))+LEN(TRIM($E174))-LEN(SUBSTITUTE(TRIM($E174)," ",""))+1)</f>
        <v/>
      </c>
      <c r="G174" s="16">
        <f>IF($F174="","",IF($F174&gt;76,"너무 김",IF($F174&lt;30,"짧음","좋음")))</f>
        <v/>
      </c>
      <c r="H174" s="16" t="n"/>
      <c r="I174" s="17" t="n"/>
    </row>
    <row r="175">
      <c r="A175" s="13" t="n">
        <v>172</v>
      </c>
      <c r="B175" s="13" t="inlineStr">
        <is>
          <t>2027-03-11</t>
        </is>
      </c>
      <c r="C175" s="13" t="inlineStr">
        <is>
          <t>목</t>
        </is>
      </c>
      <c r="D175" s="14" t="n"/>
      <c r="E175" s="15" t="n"/>
      <c r="F175" s="16">
        <f>IF($E175="","",LEN(SUBSTITUTE($E175," ",""))+LEN(TRIM($E175))-LEN(SUBSTITUTE(TRIM($E175)," ",""))+1)</f>
        <v/>
      </c>
      <c r="G175" s="16">
        <f>IF($F175="","",IF($F175&gt;76,"너무 김",IF($F175&lt;30,"짧음","좋음")))</f>
        <v/>
      </c>
      <c r="H175" s="16" t="n"/>
      <c r="I175" s="17" t="n"/>
    </row>
    <row r="176">
      <c r="A176" s="13" t="n">
        <v>173</v>
      </c>
      <c r="B176" s="13" t="inlineStr">
        <is>
          <t>2027-03-12</t>
        </is>
      </c>
      <c r="C176" s="13" t="inlineStr">
        <is>
          <t>금</t>
        </is>
      </c>
      <c r="D176" s="14" t="n"/>
      <c r="E176" s="15" t="n"/>
      <c r="F176" s="16">
        <f>IF($E176="","",LEN(SUBSTITUTE($E176," ",""))+LEN(TRIM($E176))-LEN(SUBSTITUTE(TRIM($E176)," ",""))+1)</f>
        <v/>
      </c>
      <c r="G176" s="16">
        <f>IF($F176="","",IF($F176&gt;76,"너무 김",IF($F176&lt;30,"짧음","좋음")))</f>
        <v/>
      </c>
      <c r="H176" s="16" t="n"/>
      <c r="I176" s="17" t="n"/>
    </row>
    <row r="177">
      <c r="A177" s="13" t="n">
        <v>174</v>
      </c>
      <c r="B177" s="13" t="inlineStr">
        <is>
          <t>2027-03-13</t>
        </is>
      </c>
      <c r="C177" s="13" t="inlineStr">
        <is>
          <t>토</t>
        </is>
      </c>
      <c r="D177" s="14" t="n"/>
      <c r="E177" s="15" t="n"/>
      <c r="F177" s="16">
        <f>IF($E177="","",LEN(SUBSTITUTE($E177," ",""))+LEN(TRIM($E177))-LEN(SUBSTITUTE(TRIM($E177)," ",""))+1)</f>
        <v/>
      </c>
      <c r="G177" s="16">
        <f>IF($F177="","",IF($F177&gt;76,"너무 김",IF($F177&lt;30,"짧음","좋음")))</f>
        <v/>
      </c>
      <c r="H177" s="16" t="n"/>
      <c r="I177" s="17" t="n"/>
    </row>
    <row r="178">
      <c r="A178" s="13" t="n">
        <v>175</v>
      </c>
      <c r="B178" s="18" t="inlineStr">
        <is>
          <t>2027-03-14</t>
        </is>
      </c>
      <c r="C178" s="19" t="inlineStr">
        <is>
          <t>일</t>
        </is>
      </c>
      <c r="D178" s="14" t="n"/>
      <c r="E178" s="15" t="n"/>
      <c r="F178" s="16">
        <f>IF($E178="","",LEN(SUBSTITUTE($E178," ",""))+LEN(TRIM($E178))-LEN(SUBSTITUTE(TRIM($E178)," ",""))+1)</f>
        <v/>
      </c>
      <c r="G178" s="16">
        <f>IF($F178="","",IF($F178&gt;76,"너무 김",IF($F178&lt;30,"짧음","좋음")))</f>
        <v/>
      </c>
      <c r="H178" s="16" t="n"/>
      <c r="I178" s="17" t="n"/>
    </row>
    <row r="179">
      <c r="A179" s="13" t="n">
        <v>176</v>
      </c>
      <c r="B179" s="13" t="inlineStr">
        <is>
          <t>2027-03-15</t>
        </is>
      </c>
      <c r="C179" s="13" t="inlineStr">
        <is>
          <t>월</t>
        </is>
      </c>
      <c r="D179" s="14" t="n"/>
      <c r="E179" s="15" t="n"/>
      <c r="F179" s="16">
        <f>IF($E179="","",LEN(SUBSTITUTE($E179," ",""))+LEN(TRIM($E179))-LEN(SUBSTITUTE(TRIM($E179)," ",""))+1)</f>
        <v/>
      </c>
      <c r="G179" s="16">
        <f>IF($F179="","",IF($F179&gt;76,"너무 김",IF($F179&lt;30,"짧음","좋음")))</f>
        <v/>
      </c>
      <c r="H179" s="16" t="n"/>
      <c r="I179" s="17" t="n"/>
    </row>
    <row r="180">
      <c r="A180" s="13" t="n">
        <v>177</v>
      </c>
      <c r="B180" s="13" t="inlineStr">
        <is>
          <t>2027-03-16</t>
        </is>
      </c>
      <c r="C180" s="13" t="inlineStr">
        <is>
          <t>화</t>
        </is>
      </c>
      <c r="D180" s="14" t="n"/>
      <c r="E180" s="15" t="n"/>
      <c r="F180" s="16">
        <f>IF($E180="","",LEN(SUBSTITUTE($E180," ",""))+LEN(TRIM($E180))-LEN(SUBSTITUTE(TRIM($E180)," ",""))+1)</f>
        <v/>
      </c>
      <c r="G180" s="16">
        <f>IF($F180="","",IF($F180&gt;76,"너무 김",IF($F180&lt;30,"짧음","좋음")))</f>
        <v/>
      </c>
      <c r="H180" s="16" t="n"/>
      <c r="I180" s="17" t="n"/>
    </row>
    <row r="181">
      <c r="A181" s="13" t="n">
        <v>178</v>
      </c>
      <c r="B181" s="13" t="inlineStr">
        <is>
          <t>2027-03-17</t>
        </is>
      </c>
      <c r="C181" s="13" t="inlineStr">
        <is>
          <t>수</t>
        </is>
      </c>
      <c r="D181" s="14" t="n"/>
      <c r="E181" s="15" t="n"/>
      <c r="F181" s="16">
        <f>IF($E181="","",LEN(SUBSTITUTE($E181," ",""))+LEN(TRIM($E181))-LEN(SUBSTITUTE(TRIM($E181)," ",""))+1)</f>
        <v/>
      </c>
      <c r="G181" s="16">
        <f>IF($F181="","",IF($F181&gt;76,"너무 김",IF($F181&lt;30,"짧음","좋음")))</f>
        <v/>
      </c>
      <c r="H181" s="16" t="n"/>
      <c r="I181" s="17" t="n"/>
    </row>
    <row r="182">
      <c r="A182" s="13" t="n">
        <v>179</v>
      </c>
      <c r="B182" s="13" t="inlineStr">
        <is>
          <t>2027-03-18</t>
        </is>
      </c>
      <c r="C182" s="13" t="inlineStr">
        <is>
          <t>목</t>
        </is>
      </c>
      <c r="D182" s="14" t="n"/>
      <c r="E182" s="15" t="n"/>
      <c r="F182" s="16">
        <f>IF($E182="","",LEN(SUBSTITUTE($E182," ",""))+LEN(TRIM($E182))-LEN(SUBSTITUTE(TRIM($E182)," ",""))+1)</f>
        <v/>
      </c>
      <c r="G182" s="16">
        <f>IF($F182="","",IF($F182&gt;76,"너무 김",IF($F182&lt;30,"짧음","좋음")))</f>
        <v/>
      </c>
      <c r="H182" s="16" t="n"/>
      <c r="I182" s="17" t="n"/>
    </row>
    <row r="183">
      <c r="A183" s="13" t="n">
        <v>180</v>
      </c>
      <c r="B183" s="13" t="inlineStr">
        <is>
          <t>2027-03-19</t>
        </is>
      </c>
      <c r="C183" s="13" t="inlineStr">
        <is>
          <t>금</t>
        </is>
      </c>
      <c r="D183" s="14" t="n"/>
      <c r="E183" s="15" t="n"/>
      <c r="F183" s="16">
        <f>IF($E183="","",LEN(SUBSTITUTE($E183," ",""))+LEN(TRIM($E183))-LEN(SUBSTITUTE(TRIM($E183)," ",""))+1)</f>
        <v/>
      </c>
      <c r="G183" s="16">
        <f>IF($F183="","",IF($F183&gt;76,"너무 김",IF($F183&lt;30,"짧음","좋음")))</f>
        <v/>
      </c>
      <c r="H183" s="16" t="n"/>
      <c r="I183" s="17" t="n"/>
    </row>
  </sheetData>
  <autoFilter ref="A3:I183"/>
  <mergeCells count="1">
    <mergeCell ref="A1:I1"/>
  </mergeCells>
  <conditionalFormatting sqref="A4:I183">
    <cfRule type="expression" priority="1" dxfId="2">
      <formula>$G4="너무 김"</formula>
    </cfRule>
    <cfRule type="expression" priority="2" dxfId="1">
      <formula>$G4="짧음"</formula>
    </cfRule>
    <cfRule type="expression" priority="3" dxfId="0">
      <formula>$G4="좋음"</formula>
    </cfRule>
  </conditionalFormatting>
  <dataValidations count="1">
    <dataValidation sqref="H4:H183" showDropDown="0" showInputMessage="0" showErrorMessage="1" allowBlank="1" errorTitle="액자 번호" error="액자 그림은 1~12 사이 번호입니다. 모르시면 비워 두세요." type="whole">
      <formula1>1</formula1>
      <formula2>12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0" workbookViewId="0">
      <selection activeCell="A1" sqref="A1"/>
    </sheetView>
  </sheetViews>
  <sheetFormatPr baseColWidth="8" defaultRowHeight="16.9"/>
  <cols>
    <col width="26" customWidth="1" style="24" min="2" max="2"/>
    <col width="14" customWidth="1" style="24" min="3" max="3"/>
    <col width="44" customWidth="1" style="24" min="4" max="4"/>
  </cols>
  <sheetData>
    <row r="2" ht="30" customHeight="1" s="24">
      <c r="B2" s="32" t="inlineStr">
        <is>
          <t>진행 상황 (저절로 계산됩니다)</t>
        </is>
      </c>
    </row>
    <row r="4" ht="26" customHeight="1" s="24">
      <c r="B4" s="20" t="inlineStr">
        <is>
          <t>채운 구절</t>
        </is>
      </c>
      <c r="C4" s="21">
        <f>COUNTA('구절 입력'!$E$4:$E$183)</f>
        <v/>
      </c>
      <c r="D4" s="22" t="inlineStr">
        <is>
          <t>180편 중 몇 편을 채우셨는지</t>
        </is>
      </c>
    </row>
    <row r="5" ht="26" customHeight="1" s="24">
      <c r="B5" s="20" t="inlineStr">
        <is>
          <t>✅ 좋음</t>
        </is>
      </c>
      <c r="C5" s="21">
        <f>COUNTIF('구절 입력'!$G$4:$G$183,"좋음")</f>
        <v/>
      </c>
      <c r="D5" s="22" t="inlineStr">
        <is>
          <t>그대로 쓰시면 됩니다</t>
        </is>
      </c>
    </row>
    <row r="6" ht="26" customHeight="1" s="24">
      <c r="B6" s="20" t="inlineStr">
        <is>
          <t>⚠️ 짧음</t>
        </is>
      </c>
      <c r="C6" s="21">
        <f>COUNTIF('구절 입력'!$G$4:$G$183,"짧음")</f>
        <v/>
      </c>
      <c r="D6" s="22" t="inlineStr">
        <is>
          <t>써도 되지만 액자가 조금 허전합니다</t>
        </is>
      </c>
    </row>
    <row r="7" ht="26" customHeight="1" s="24">
      <c r="B7" s="20" t="inlineStr">
        <is>
          <t>❌ 너무 김</t>
        </is>
      </c>
      <c r="C7" s="21">
        <f>COUNTIF('구절 입력'!$G$4:$G$183,"너무 김")</f>
        <v/>
      </c>
      <c r="D7" s="22" t="inlineStr">
        <is>
          <t>다섯 줄을 넘습니다 — 바꾸거나 빼 주세요</t>
        </is>
      </c>
    </row>
    <row r="8" ht="26" customHeight="1" s="24">
      <c r="B8" s="20" t="inlineStr">
        <is>
          <t>가장 긴 구절</t>
        </is>
      </c>
      <c r="C8" s="21">
        <f>IF(COUNT('구절 입력'!$F$4:$F$183)=0,"",MAX('구절 입력'!$F$4:$F$183))</f>
        <v/>
      </c>
      <c r="D8" s="22" t="inlineStr">
        <is>
          <t>76 이하여야 합니다</t>
        </is>
      </c>
    </row>
    <row r="9" ht="26" customHeight="1" s="24">
      <c r="B9" s="20" t="inlineStr">
        <is>
          <t>남은 편</t>
        </is>
      </c>
      <c r="C9" s="21">
        <f>180-COUNTA('구절 입력'!$E$4:$E$183)</f>
        <v/>
      </c>
      <c r="D9" s="22" t="inlineStr">
        <is>
          <t>다 못 채우셔도 됩니다 — 앞에서부터 30편이면 한 달을 갑니다</t>
        </is>
      </c>
    </row>
    <row r="11" ht="32" customHeight="1" s="24">
      <c r="B11" s="29" t="inlineStr">
        <is>
          <t>※ 「너무 김」이 하나도 없고 채운 편이 30편을 넘으면 보내 주셔도 됩니다. 나머지는 뒤이어 채워도 앱이 안 깨집니다.</t>
        </is>
      </c>
    </row>
  </sheetData>
  <mergeCells count="2">
    <mergeCell ref="B11:D1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2026-09-10T01:42:21Z</dcterms:created>
  <dcterms:modified xmlns:dcterms="http://purl.org/dc/terms/" xmlns:xsi="http://www.w3.org/2001/XMLSchema-instance" xsi:type="dcterms:W3CDTF">2026-09-10T06:52:18Z</dcterms:modified>
  <cp:lastModifiedBy>김 세웅</cp:lastModifiedBy>
</cp:coreProperties>
</file>