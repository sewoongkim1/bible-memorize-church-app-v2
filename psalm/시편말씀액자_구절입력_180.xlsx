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bible-memorize-church-app-v2\psalm\"/>
    </mc:Choice>
  </mc:AlternateContent>
  <xr:revisionPtr revIDLastSave="0" documentId="13_ncr:1_{5797094C-C028-490F-84CA-44DA45D54092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안내" sheetId="1" r:id="rId1"/>
    <sheet name="구절 입력" sheetId="2" r:id="rId2"/>
    <sheet name="진행 상황" sheetId="3" r:id="rId3"/>
  </sheets>
  <definedNames>
    <definedName name="_xlnm._FilterDatabase" localSheetId="1" hidden="1">'구절 입력'!$A$3:$I$183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4" i="3"/>
  <c r="F183" i="2"/>
  <c r="G183" i="2" s="1"/>
  <c r="F182" i="2"/>
  <c r="G182" i="2" s="1"/>
  <c r="F181" i="2"/>
  <c r="G181" i="2" s="1"/>
  <c r="G180" i="2"/>
  <c r="F180" i="2"/>
  <c r="F179" i="2"/>
  <c r="G179" i="2" s="1"/>
  <c r="F178" i="2"/>
  <c r="G178" i="2" s="1"/>
  <c r="F177" i="2"/>
  <c r="G177" i="2" s="1"/>
  <c r="G176" i="2"/>
  <c r="F176" i="2"/>
  <c r="F175" i="2"/>
  <c r="G175" i="2" s="1"/>
  <c r="F174" i="2"/>
  <c r="G174" i="2" s="1"/>
  <c r="F173" i="2"/>
  <c r="G173" i="2" s="1"/>
  <c r="G172" i="2"/>
  <c r="F172" i="2"/>
  <c r="F171" i="2"/>
  <c r="G171" i="2" s="1"/>
  <c r="F170" i="2"/>
  <c r="G170" i="2" s="1"/>
  <c r="F169" i="2"/>
  <c r="G169" i="2" s="1"/>
  <c r="G168" i="2"/>
  <c r="F168" i="2"/>
  <c r="F167" i="2"/>
  <c r="G167" i="2" s="1"/>
  <c r="F166" i="2"/>
  <c r="G166" i="2" s="1"/>
  <c r="F165" i="2"/>
  <c r="G165" i="2" s="1"/>
  <c r="G164" i="2"/>
  <c r="F164" i="2"/>
  <c r="F163" i="2"/>
  <c r="G163" i="2" s="1"/>
  <c r="F162" i="2"/>
  <c r="G162" i="2" s="1"/>
  <c r="F161" i="2"/>
  <c r="G161" i="2" s="1"/>
  <c r="G160" i="2"/>
  <c r="F160" i="2"/>
  <c r="F159" i="2"/>
  <c r="G159" i="2" s="1"/>
  <c r="F158" i="2"/>
  <c r="G158" i="2" s="1"/>
  <c r="F157" i="2"/>
  <c r="G157" i="2" s="1"/>
  <c r="G156" i="2"/>
  <c r="F156" i="2"/>
  <c r="F155" i="2"/>
  <c r="G155" i="2" s="1"/>
  <c r="F154" i="2"/>
  <c r="G154" i="2" s="1"/>
  <c r="F153" i="2"/>
  <c r="G153" i="2" s="1"/>
  <c r="G152" i="2"/>
  <c r="F152" i="2"/>
  <c r="F151" i="2"/>
  <c r="G151" i="2" s="1"/>
  <c r="F150" i="2"/>
  <c r="G150" i="2" s="1"/>
  <c r="F149" i="2"/>
  <c r="G149" i="2" s="1"/>
  <c r="G148" i="2"/>
  <c r="F148" i="2"/>
  <c r="F147" i="2"/>
  <c r="G147" i="2" s="1"/>
  <c r="F146" i="2"/>
  <c r="G146" i="2" s="1"/>
  <c r="F145" i="2"/>
  <c r="G145" i="2" s="1"/>
  <c r="G144" i="2"/>
  <c r="F144" i="2"/>
  <c r="F143" i="2"/>
  <c r="G143" i="2" s="1"/>
  <c r="F142" i="2"/>
  <c r="G142" i="2" s="1"/>
  <c r="F141" i="2"/>
  <c r="G141" i="2" s="1"/>
  <c r="G140" i="2"/>
  <c r="F140" i="2"/>
  <c r="F139" i="2"/>
  <c r="G139" i="2" s="1"/>
  <c r="F138" i="2"/>
  <c r="G138" i="2" s="1"/>
  <c r="F137" i="2"/>
  <c r="G137" i="2" s="1"/>
  <c r="G136" i="2"/>
  <c r="F136" i="2"/>
  <c r="F135" i="2"/>
  <c r="G135" i="2" s="1"/>
  <c r="F134" i="2"/>
  <c r="G134" i="2" s="1"/>
  <c r="F133" i="2"/>
  <c r="G133" i="2" s="1"/>
  <c r="G132" i="2"/>
  <c r="F132" i="2"/>
  <c r="F131" i="2"/>
  <c r="G131" i="2" s="1"/>
  <c r="F130" i="2"/>
  <c r="G130" i="2" s="1"/>
  <c r="F129" i="2"/>
  <c r="G129" i="2" s="1"/>
  <c r="G128" i="2"/>
  <c r="F128" i="2"/>
  <c r="F127" i="2"/>
  <c r="G127" i="2" s="1"/>
  <c r="F126" i="2"/>
  <c r="G126" i="2" s="1"/>
  <c r="F125" i="2"/>
  <c r="G125" i="2" s="1"/>
  <c r="G124" i="2"/>
  <c r="F124" i="2"/>
  <c r="F123" i="2"/>
  <c r="G123" i="2" s="1"/>
  <c r="F122" i="2"/>
  <c r="G122" i="2" s="1"/>
  <c r="F121" i="2"/>
  <c r="G121" i="2" s="1"/>
  <c r="G120" i="2"/>
  <c r="F120" i="2"/>
  <c r="F119" i="2"/>
  <c r="G119" i="2" s="1"/>
  <c r="F118" i="2"/>
  <c r="G118" i="2" s="1"/>
  <c r="F117" i="2"/>
  <c r="G117" i="2" s="1"/>
  <c r="G116" i="2"/>
  <c r="F116" i="2"/>
  <c r="F115" i="2"/>
  <c r="G115" i="2" s="1"/>
  <c r="F114" i="2"/>
  <c r="G114" i="2" s="1"/>
  <c r="F113" i="2"/>
  <c r="G113" i="2" s="1"/>
  <c r="G112" i="2"/>
  <c r="F112" i="2"/>
  <c r="F111" i="2"/>
  <c r="G111" i="2" s="1"/>
  <c r="F110" i="2"/>
  <c r="G110" i="2" s="1"/>
  <c r="F109" i="2"/>
  <c r="G109" i="2" s="1"/>
  <c r="G108" i="2"/>
  <c r="F108" i="2"/>
  <c r="F107" i="2"/>
  <c r="G107" i="2" s="1"/>
  <c r="F106" i="2"/>
  <c r="G106" i="2" s="1"/>
  <c r="F105" i="2"/>
  <c r="G105" i="2" s="1"/>
  <c r="G104" i="2"/>
  <c r="F104" i="2"/>
  <c r="F103" i="2"/>
  <c r="G103" i="2" s="1"/>
  <c r="F102" i="2"/>
  <c r="G102" i="2" s="1"/>
  <c r="F101" i="2"/>
  <c r="G101" i="2" s="1"/>
  <c r="G100" i="2"/>
  <c r="F100" i="2"/>
  <c r="F99" i="2"/>
  <c r="G99" i="2" s="1"/>
  <c r="F98" i="2"/>
  <c r="G98" i="2" s="1"/>
  <c r="F97" i="2"/>
  <c r="G97" i="2" s="1"/>
  <c r="G96" i="2"/>
  <c r="F96" i="2"/>
  <c r="F95" i="2"/>
  <c r="G95" i="2" s="1"/>
  <c r="F94" i="2"/>
  <c r="G94" i="2" s="1"/>
  <c r="F93" i="2"/>
  <c r="G93" i="2" s="1"/>
  <c r="G92" i="2"/>
  <c r="F92" i="2"/>
  <c r="F91" i="2"/>
  <c r="G91" i="2" s="1"/>
  <c r="F90" i="2"/>
  <c r="G90" i="2" s="1"/>
  <c r="F89" i="2"/>
  <c r="G89" i="2" s="1"/>
  <c r="G88" i="2"/>
  <c r="F88" i="2"/>
  <c r="F87" i="2"/>
  <c r="G87" i="2" s="1"/>
  <c r="F86" i="2"/>
  <c r="G86" i="2" s="1"/>
  <c r="F85" i="2"/>
  <c r="G85" i="2" s="1"/>
  <c r="G84" i="2"/>
  <c r="F84" i="2"/>
  <c r="F83" i="2"/>
  <c r="G83" i="2" s="1"/>
  <c r="F82" i="2"/>
  <c r="G82" i="2" s="1"/>
  <c r="F81" i="2"/>
  <c r="G81" i="2" s="1"/>
  <c r="G80" i="2"/>
  <c r="F80" i="2"/>
  <c r="F79" i="2"/>
  <c r="G79" i="2" s="1"/>
  <c r="F78" i="2"/>
  <c r="G78" i="2" s="1"/>
  <c r="F77" i="2"/>
  <c r="G77" i="2" s="1"/>
  <c r="G76" i="2"/>
  <c r="F76" i="2"/>
  <c r="F75" i="2"/>
  <c r="G75" i="2" s="1"/>
  <c r="F74" i="2"/>
  <c r="G74" i="2" s="1"/>
  <c r="F73" i="2"/>
  <c r="G73" i="2" s="1"/>
  <c r="G72" i="2"/>
  <c r="F72" i="2"/>
  <c r="F71" i="2"/>
  <c r="G71" i="2" s="1"/>
  <c r="F70" i="2"/>
  <c r="G70" i="2" s="1"/>
  <c r="F69" i="2"/>
  <c r="G69" i="2" s="1"/>
  <c r="G68" i="2"/>
  <c r="F68" i="2"/>
  <c r="F67" i="2"/>
  <c r="G67" i="2" s="1"/>
  <c r="F66" i="2"/>
  <c r="G66" i="2" s="1"/>
  <c r="F65" i="2"/>
  <c r="G65" i="2" s="1"/>
  <c r="G64" i="2"/>
  <c r="F64" i="2"/>
  <c r="F63" i="2"/>
  <c r="G63" i="2" s="1"/>
  <c r="F62" i="2"/>
  <c r="G62" i="2" s="1"/>
  <c r="F61" i="2"/>
  <c r="G61" i="2" s="1"/>
  <c r="G60" i="2"/>
  <c r="F60" i="2"/>
  <c r="F59" i="2"/>
  <c r="G59" i="2" s="1"/>
  <c r="F58" i="2"/>
  <c r="G58" i="2" s="1"/>
  <c r="F57" i="2"/>
  <c r="G57" i="2" s="1"/>
  <c r="G56" i="2"/>
  <c r="F56" i="2"/>
  <c r="F55" i="2"/>
  <c r="G55" i="2" s="1"/>
  <c r="F54" i="2"/>
  <c r="G54" i="2" s="1"/>
  <c r="F53" i="2"/>
  <c r="G53" i="2" s="1"/>
  <c r="G52" i="2"/>
  <c r="F52" i="2"/>
  <c r="F51" i="2"/>
  <c r="G51" i="2" s="1"/>
  <c r="F50" i="2"/>
  <c r="G50" i="2" s="1"/>
  <c r="F49" i="2"/>
  <c r="G49" i="2" s="1"/>
  <c r="G48" i="2"/>
  <c r="F48" i="2"/>
  <c r="F47" i="2"/>
  <c r="G47" i="2" s="1"/>
  <c r="F46" i="2"/>
  <c r="G46" i="2" s="1"/>
  <c r="F45" i="2"/>
  <c r="G45" i="2" s="1"/>
  <c r="G44" i="2"/>
  <c r="F44" i="2"/>
  <c r="F43" i="2"/>
  <c r="G43" i="2" s="1"/>
  <c r="F42" i="2"/>
  <c r="G42" i="2" s="1"/>
  <c r="F41" i="2"/>
  <c r="G41" i="2" s="1"/>
  <c r="G40" i="2"/>
  <c r="F40" i="2"/>
  <c r="F39" i="2"/>
  <c r="G39" i="2" s="1"/>
  <c r="F38" i="2"/>
  <c r="G38" i="2" s="1"/>
  <c r="F37" i="2"/>
  <c r="G37" i="2" s="1"/>
  <c r="G36" i="2"/>
  <c r="F36" i="2"/>
  <c r="F35" i="2"/>
  <c r="G35" i="2" s="1"/>
  <c r="F34" i="2"/>
  <c r="G34" i="2" s="1"/>
  <c r="F33" i="2"/>
  <c r="G33" i="2" s="1"/>
  <c r="G32" i="2"/>
  <c r="F32" i="2"/>
  <c r="F31" i="2"/>
  <c r="G31" i="2" s="1"/>
  <c r="F30" i="2"/>
  <c r="G30" i="2" s="1"/>
  <c r="F29" i="2"/>
  <c r="G29" i="2" s="1"/>
  <c r="G28" i="2"/>
  <c r="F28" i="2"/>
  <c r="F27" i="2"/>
  <c r="G27" i="2" s="1"/>
  <c r="F26" i="2"/>
  <c r="G26" i="2" s="1"/>
  <c r="F25" i="2"/>
  <c r="G25" i="2" s="1"/>
  <c r="G24" i="2"/>
  <c r="F24" i="2"/>
  <c r="F23" i="2"/>
  <c r="G23" i="2" s="1"/>
  <c r="F22" i="2"/>
  <c r="G22" i="2" s="1"/>
  <c r="F21" i="2"/>
  <c r="G21" i="2" s="1"/>
  <c r="G20" i="2"/>
  <c r="F20" i="2"/>
  <c r="F19" i="2"/>
  <c r="G19" i="2" s="1"/>
  <c r="F18" i="2"/>
  <c r="G18" i="2" s="1"/>
  <c r="F17" i="2"/>
  <c r="G17" i="2" s="1"/>
  <c r="G16" i="2"/>
  <c r="F16" i="2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C8" i="3" l="1"/>
  <c r="G4" i="2"/>
  <c r="C7" i="3"/>
  <c r="C6" i="3"/>
  <c r="C5" i="3"/>
</calcChain>
</file>

<file path=xl/sharedStrings.xml><?xml version="1.0" encoding="utf-8"?>
<sst xmlns="http://schemas.openxmlformats.org/spreadsheetml/2006/main" count="452" uniqueCount="273">
  <si>
    <t>시편 말씀 액자 — 구절 입력 양식</t>
  </si>
  <si>
    <t>2026년 09월 21일(월) 1일차 시작 · 하루에 한 편씩 180일</t>
  </si>
  <si>
    <t>채워 주실 것은 두 칸입니다</t>
  </si>
  <si>
    <t>「구절 입력」 시트의  D열 출처  ·  E열 개역개정 본문  — 이 둘뿐입니다.</t>
  </si>
  <si>
    <t>나머지(순번·열리는 날·길이·판정)는 저절로 채워집니다.</t>
  </si>
  <si>
    <t>본문을 붙여 넣으면 그 자리에서 길이를 알려 드립니다</t>
  </si>
  <si>
    <t>G열 판정이 빨간 「너무 김」이면 액자 다섯 줄에 안 들어갑니다. 그 절은 빼시거나 더 짧은 절로 바꿔 주세요.</t>
  </si>
  <si>
    <t>노란 「짧음」은 괜찮습니다 — 다만 액자가 좀 허전하니 앞뒤 절을 붙여 한 편으로 묶으셔도 좋습니다.</t>
  </si>
  <si>
    <t>왜 이런 잣대인가</t>
  </si>
  <si>
    <t>암송 3단계에서는 모든 낱말이 빈칸이 되는데, 빈칸은 글자보다 자리를 더 차지합니다. 그래서 「글자수 + 낱말수」로 재고 76을 넘지 않게 합니다.</t>
  </si>
  <si>
    <t>구절</t>
  </si>
  <si>
    <t>공백 포함</t>
  </si>
  <si>
    <t>글자+낱말</t>
  </si>
  <si>
    <t>판정</t>
  </si>
  <si>
    <t>액자에서</t>
  </si>
  <si>
    <t>시편 23편 1절</t>
  </si>
  <si>
    <t>26자</t>
  </si>
  <si>
    <t>27</t>
  </si>
  <si>
    <t>짧음</t>
  </si>
  <si>
    <t>액자가 허전하다</t>
  </si>
  <si>
    <t>시편 119편 105절</t>
  </si>
  <si>
    <t>시편 1편 1절</t>
  </si>
  <si>
    <t>61자</t>
  </si>
  <si>
    <t>62</t>
  </si>
  <si>
    <t>좋음</t>
  </si>
  <si>
    <t>가장 알맞다</t>
  </si>
  <si>
    <t>시편 1편 3절</t>
  </si>
  <si>
    <t>68자</t>
  </si>
  <si>
    <t>69</t>
  </si>
  <si>
    <t>아슬하지만 들어간다</t>
  </si>
  <si>
    <t>(90자짜리 절)</t>
  </si>
  <si>
    <t>90자</t>
  </si>
  <si>
    <t>91</t>
  </si>
  <si>
    <t>너무 김</t>
  </si>
  <si>
    <t>다섯 줄을 넘는다</t>
  </si>
  <si>
    <t>출처는 이렇게 적어 주세요</t>
  </si>
  <si>
    <t>시편 1편 1절     ·     시편 119편 105절     — 「편」과 「절」을 붙여 주시면 됩니다.</t>
  </si>
  <si>
    <t>한 편에 두 절을 묶으실 때는:  시편 1편 1-2절</t>
  </si>
  <si>
    <t>액자 그림(H열)은 비워 두셔도 됩니다</t>
  </si>
  <si>
    <t>비워 두시면 1~12번 그림이 고르게 배정됩니다. 「이 말씀엔 포도가 어울린다」 싶은 곳만 번호를 적어 주세요.</t>
  </si>
  <si>
    <t>마감</t>
  </si>
  <si>
    <t>9월 17일(목)까지 주시면 9월 21일(월) 시작에 맞출 수 있습니다. 다 못 채우셔도 괜찮습니다 — 앞에서부터 30편만 있어도 한 달을 갑니다.</t>
  </si>
  <si>
    <t>※ 본문은 성경 프로그램이나 사이트에서 복사해 붙여 넣어 주세요. 한 글자도 틀리면 안 되는 자리라 사람 손으로 받습니다.</t>
  </si>
  <si>
    <t>시편 말씀 액자 · 구절 입력    │    채우실 곳은 D열(출처)과 E열(본문) 두 칸입니다    │    G열이 빨간 「너무 김」이면 다른 절로 바꿔 주세요</t>
  </si>
  <si>
    <t>순번</t>
  </si>
  <si>
    <t>열리는 날</t>
  </si>
  <si>
    <t>요일</t>
  </si>
  <si>
    <t>출처</t>
  </si>
  <si>
    <t>개역개정 본문</t>
  </si>
  <si>
    <t>길이</t>
  </si>
  <si>
    <t>액자</t>
  </si>
  <si>
    <t>비고</t>
  </si>
  <si>
    <t>2026-09-21</t>
  </si>
  <si>
    <t>월</t>
  </si>
  <si>
    <t>2026-09-22</t>
  </si>
  <si>
    <t>화</t>
  </si>
  <si>
    <t>2026-09-23</t>
  </si>
  <si>
    <t>수</t>
  </si>
  <si>
    <t>2026-09-24</t>
  </si>
  <si>
    <t>목</t>
  </si>
  <si>
    <t>2026-09-25</t>
  </si>
  <si>
    <t>금</t>
  </si>
  <si>
    <t>2026-09-26</t>
  </si>
  <si>
    <t>토</t>
  </si>
  <si>
    <t>2026-09-27</t>
  </si>
  <si>
    <t>일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</si>
  <si>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</si>
  <si>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</si>
  <si>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</si>
  <si>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</si>
  <si>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</si>
  <si>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</si>
  <si>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</si>
  <si>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</si>
  <si>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</si>
  <si>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</si>
  <si>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</si>
  <si>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</si>
  <si>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</si>
  <si>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</si>
  <si>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</si>
  <si>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</si>
  <si>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</si>
  <si>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</si>
  <si>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</si>
  <si>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</si>
  <si>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</si>
  <si>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</si>
  <si>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</si>
  <si>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</si>
  <si>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</si>
  <si>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</si>
  <si>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</si>
  <si>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</si>
  <si>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</si>
  <si>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</si>
  <si>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</si>
  <si>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</si>
  <si>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</si>
  <si>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</si>
  <si>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2026-11-01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</si>
  <si>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</si>
  <si>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</si>
  <si>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</si>
  <si>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</si>
  <si>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</si>
  <si>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</si>
  <si>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</si>
  <si>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</si>
  <si>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</si>
  <si>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</si>
  <si>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</si>
  <si>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</si>
  <si>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</si>
  <si>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</si>
  <si>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</si>
  <si>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</si>
  <si>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</si>
  <si>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</si>
  <si>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</si>
  <si>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</si>
  <si>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</si>
  <si>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</si>
  <si>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</si>
  <si>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</si>
  <si>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</si>
  <si>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</si>
  <si>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</si>
  <si>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</si>
  <si>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2026-11-30</t>
  </si>
  <si>
    <t>2026-12-01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</si>
  <si>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</si>
  <si>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</si>
  <si>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</si>
  <si>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</si>
  <si>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</si>
  <si>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</si>
  <si>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</si>
  <si>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</si>
  <si>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</si>
  <si>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</si>
  <si>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</si>
  <si>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</si>
  <si>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</si>
  <si>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</si>
  <si>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</si>
  <si>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</si>
  <si>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</si>
  <si>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</si>
  <si>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</si>
  <si>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</si>
  <si>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</si>
  <si>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</si>
  <si>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</si>
  <si>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</si>
  <si>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</si>
  <si>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</si>
  <si>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</si>
  <si>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</si>
  <si>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</si>
  <si>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2026-12-31</t>
  </si>
  <si>
    <t>2027-01-01</t>
  </si>
  <si>
    <t>2027-01-02</t>
  </si>
  <si>
    <t>2027-01-03</t>
  </si>
  <si>
    <t>2027-01-04</t>
  </si>
  <si>
    <t>2027-01-05</t>
  </si>
  <si>
    <t>2027-01-06</t>
  </si>
  <si>
    <t>2027-01-07</t>
  </si>
  <si>
    <t>2027-01-08</t>
  </si>
  <si>
    <t>2027-01-09</t>
  </si>
  <si>
    <t>2027-01-10</t>
  </si>
  <si>
    <t>2027-01-11</t>
  </si>
  <si>
    <t>2027-01-12</t>
  </si>
  <si>
    <t>2027-01-13</t>
  </si>
  <si>
    <t>2027-01-14</t>
  </si>
  <si>
    <t>2027-01-15</t>
  </si>
  <si>
    <t>2027-01-16</t>
  </si>
  <si>
    <t>2027-01-17</t>
  </si>
  <si>
    <t>2027-01-18</t>
  </si>
  <si>
    <t>2027-01-19</t>
  </si>
  <si>
    <t>2027-01-20</t>
  </si>
  <si>
    <t>2027-01-21</t>
  </si>
  <si>
    <t>2027-01-22</t>
  </si>
  <si>
    <t>2027-01-23</t>
  </si>
  <si>
    <t>2027-01-24</t>
  </si>
  <si>
    <t>2027-01-25</t>
  </si>
  <si>
    <t>2027-01-26</t>
  </si>
  <si>
    <t>2027-01-27</t>
  </si>
  <si>
    <t>2027-01-28</t>
  </si>
  <si>
    <t>2027-01-29</t>
  </si>
  <si>
    <t>2027-01-30</t>
  </si>
  <si>
    <t>2027-01-31</t>
  </si>
  <si>
    <t>2027-02-01</t>
  </si>
  <si>
    <t>2027-02-02</t>
  </si>
  <si>
    <t>2027-02-03</t>
  </si>
  <si>
    <t>2027-02-04</t>
  </si>
  <si>
    <t>2027-02-05</t>
  </si>
  <si>
    <t>2027-02-06</t>
  </si>
  <si>
    <t>2027-02-07</t>
  </si>
  <si>
    <t>2027-02-08</t>
  </si>
  <si>
    <t>2027-02-09</t>
  </si>
  <si>
    <t>2027-02-10</t>
  </si>
  <si>
    <t>2027-02-11</t>
  </si>
  <si>
    <t>2027-02-12</t>
  </si>
  <si>
    <t>2027-02-13</t>
  </si>
  <si>
    <t>2027-02-14</t>
  </si>
  <si>
    <t>2027-02-15</t>
  </si>
  <si>
    <t>2027-02-16</t>
  </si>
  <si>
    <t>2027-02-17</t>
  </si>
  <si>
    <t>2027-02-18</t>
  </si>
  <si>
    <t>2027-02-19</t>
  </si>
  <si>
    <t>2027-02-20</t>
  </si>
  <si>
    <t>2027-02-21</t>
  </si>
  <si>
    <t>2027-02-22</t>
  </si>
  <si>
    <t>2027-02-23</t>
  </si>
  <si>
    <t>2027-02-24</t>
  </si>
  <si>
    <t>2027-02-25</t>
  </si>
  <si>
    <t>2027-02-26</t>
  </si>
  <si>
    <t>2027-02-27</t>
  </si>
  <si>
    <t>2027-02-28</t>
  </si>
  <si>
    <t>2027-03-01</t>
  </si>
  <si>
    <t>2027-03-02</t>
  </si>
  <si>
    <t>2027-03-03</t>
  </si>
  <si>
    <t>2027-03-04</t>
  </si>
  <si>
    <t>2027-03-05</t>
  </si>
  <si>
    <t>2027-03-06</t>
  </si>
  <si>
    <t>2027-03-07</t>
  </si>
  <si>
    <t>2027-03-08</t>
  </si>
  <si>
    <t>2027-03-09</t>
  </si>
  <si>
    <t>2027-03-10</t>
  </si>
  <si>
    <t>2027-03-11</t>
  </si>
  <si>
    <t>2027-03-12</t>
  </si>
  <si>
    <t>2027-03-13</t>
  </si>
  <si>
    <t>2027-03-14</t>
  </si>
  <si>
    <t>2027-03-15</t>
  </si>
  <si>
    <t>2027-03-16</t>
  </si>
  <si>
    <t>2027-03-17</t>
  </si>
  <si>
    <t>2027-03-18</t>
  </si>
  <si>
    <t>2027-03-19</t>
  </si>
  <si>
    <t>진행 상황 (저절로 계산됩니다)</t>
  </si>
  <si>
    <t>채운 구절</t>
  </si>
  <si>
    <t>180편 중 몇 편을 채우셨는지</t>
  </si>
  <si>
    <t>✅ 좋음</t>
  </si>
  <si>
    <t>그대로 쓰시면 됩니다</t>
  </si>
  <si>
    <t>⚠️ 짧음</t>
  </si>
  <si>
    <t>써도 되지만 액자가 조금 허전합니다</t>
  </si>
  <si>
    <t>❌ 너무 김</t>
  </si>
  <si>
    <t>다섯 줄을 넘습니다 — 바꾸거나 빼 주세요</t>
  </si>
  <si>
    <t>가장 긴 구절</t>
  </si>
  <si>
    <t>76 이하여야 합니다</t>
  </si>
  <si>
    <t>남은 편</t>
  </si>
  <si>
    <t>다 못 채우셔도 됩니다 — 앞에서부터 30편이면 한 달을 갑니다</t>
  </si>
  <si>
    <t>※ 「너무 김」이 하나도 없고 채운 편이 30편을 넘으면 보내 주셔도 됩니다. 나머지는 뒤이어 채워도 앱이 안 깨집니다.</t>
  </si>
  <si>
    <t>시편 1편 1절</t>
    <phoneticPr fontId="19" type="noConversion"/>
  </si>
  <si>
    <t>복 있는 사람은 악인들의 꾀를 따르지 아니하며 죄인들의 길에 서지 아니하며 오만한 자들의 자리에 앉지 아니하고</t>
    <phoneticPr fontId="19" type="noConversion"/>
  </si>
  <si>
    <t>오직 여호와의 율법을 즐거워하여 그의 율법을 주야로 묵상하는도다</t>
    <phoneticPr fontId="19" type="noConversion"/>
  </si>
  <si>
    <t>시편 1편 2절</t>
    <phoneticPr fontId="19" type="noConversion"/>
  </si>
  <si>
    <t>그는 시냇가에 심은 나무가 철을 따라 열매를 맺으며 그 잎사귀가 마르지 아니함 같으니 그가 하는 모든 일이 다 형통하리로다</t>
    <phoneticPr fontId="19" type="noConversion"/>
  </si>
  <si>
    <t>시편 1편 3절</t>
    <phoneticPr fontId="19" type="noConversion"/>
  </si>
  <si>
    <t>여호와여 주는 나의 방패시요 나의 영광이시요 나의 머리를 드시는 자이시니이다</t>
    <phoneticPr fontId="19" type="noConversion"/>
  </si>
  <si>
    <t>시편 3편 3절</t>
    <phoneticPr fontId="19" type="noConversion"/>
  </si>
  <si>
    <t>천만인이 나를 에워싸 진 친다 하여도 나는 두려워하지 아니하리이다</t>
    <phoneticPr fontId="19" type="noConversion"/>
  </si>
  <si>
    <t>시편 3편 6절</t>
    <phoneticPr fontId="19" type="noConversion"/>
  </si>
  <si>
    <t>주께서 내 마음에 두신 기쁨은 그들의 곡식과 새 포도주가 풍성할 때보다 더하니이다</t>
    <phoneticPr fontId="19" type="noConversion"/>
  </si>
  <si>
    <t>시편 3편 7절</t>
    <phoneticPr fontId="19" type="noConversion"/>
  </si>
  <si>
    <t>여호와여 주는 의인에게 복을 주시고 방패로 함 같이 은혜로 그를 호위하시리이다</t>
    <phoneticPr fontId="19" type="noConversion"/>
  </si>
  <si>
    <t>시편 5편 12절</t>
    <phoneticPr fontId="19" type="noConversion"/>
  </si>
  <si>
    <t>내가 여호와께 그의 의를 따라 감사함이여 지존하신 여호와의 이름을 찬양하리로다</t>
    <phoneticPr fontId="19" type="noConversion"/>
  </si>
  <si>
    <t>시편 7편 17절</t>
    <phoneticPr fontId="19" type="noConversion"/>
  </si>
  <si>
    <t>여호와 우리 주여 주의 이름이 온 땅에 어찌 그리 아름다운지요</t>
    <phoneticPr fontId="19" type="noConversion"/>
  </si>
  <si>
    <t>시편 8편 1절</t>
    <phoneticPr fontId="19" type="noConversion"/>
  </si>
  <si>
    <t>여호와는 의로우사 의로운 일을 좋아하시나니 정직한 자는 그의 얼굴을 뵈오리로다</t>
    <phoneticPr fontId="19" type="noConversion"/>
  </si>
  <si>
    <t>시편 11편 7절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</si>
</sst>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scheme val="minor"/>
    </font>
    <font>
      <b/>
      <sz val="18"/>
      <color rgb="FF1A3A6B"/>
      <name val="맑은 고딕"/>
      <family val="3"/>
      <charset val="129"/>
    </font>
    <font>
      <sz val="11"/>
      <color rgb="FF4A5560"/>
      <name val="맑은 고딕"/>
      <family val="3"/>
      <charset val="129"/>
    </font>
    <font>
      <b/>
      <sz val="13"/>
      <color rgb="FF1A3A6B"/>
      <name val="맑은 고딕"/>
      <family val="3"/>
      <charset val="129"/>
    </font>
    <font>
      <sz val="11"/>
      <color rgb="FF1F2328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3"/>
      <color rgb="FF8A6216"/>
      <name val="맑은 고딕"/>
      <family val="3"/>
      <charset val="129"/>
    </font>
    <font>
      <sz val="10"/>
      <color rgb="FF8A6216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1F2328"/>
      <name val="맑은 고딕"/>
      <family val="3"/>
      <charset val="129"/>
    </font>
    <font>
      <b/>
      <sz val="10"/>
      <color rgb="FFB04A4A"/>
      <name val="맑은 고딕"/>
      <family val="3"/>
      <charset val="129"/>
    </font>
    <font>
      <sz val="10"/>
      <color rgb="FFB04A4A"/>
      <name val="맑은 고딕"/>
      <family val="3"/>
      <charset val="129"/>
    </font>
    <font>
      <b/>
      <sz val="16"/>
      <color rgb="FF1A3A6B"/>
      <name val="맑은 고딕"/>
      <family val="3"/>
      <charset val="129"/>
    </font>
    <font>
      <b/>
      <sz val="12"/>
      <color rgb="FF1A3A6B"/>
      <name val="맑은 고딕"/>
      <family val="3"/>
      <charset val="129"/>
    </font>
    <font>
      <b/>
      <sz val="14"/>
      <name val="맑은 고딕"/>
      <family val="3"/>
      <charset val="129"/>
    </font>
    <font>
      <sz val="10"/>
      <color rgb="FF4A556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3A6B"/>
      </patternFill>
    </fill>
    <fill>
      <patternFill patternType="solid">
        <fgColor rgb="FFFFF6E0"/>
      </patternFill>
    </fill>
    <fill>
      <patternFill patternType="solid">
        <fgColor rgb="FFEDF6EE"/>
      </patternFill>
    </fill>
    <fill>
      <patternFill patternType="solid">
        <fgColor rgb="FFFCE4E4"/>
      </patternFill>
    </fill>
    <fill>
      <patternFill patternType="solid">
        <fgColor rgb="FFC3A253"/>
      </patternFill>
    </fill>
    <fill>
      <patternFill patternType="solid">
        <fgColor rgb="FFF2ECE0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8D0BC"/>
      </left>
      <right style="thin">
        <color rgb="FFD8D0BC"/>
      </right>
      <top style="thin">
        <color rgb="FFD8D0BC"/>
      </top>
      <bottom style="thin">
        <color rgb="FFD8D0B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4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/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15" fillId="0" borderId="0" xfId="0" applyFont="1"/>
  </cellXfs>
  <cellStyles count="1">
    <cellStyle name="표준" xfId="0" builtinId="0"/>
  </cellStyles>
  <dxfs count="3">
    <dxf>
      <fill>
        <patternFill patternType="solid">
          <bgColor rgb="FFEDF6EE"/>
        </patternFill>
      </fill>
    </dxf>
    <dxf>
      <fill>
        <patternFill patternType="solid">
          <bgColor rgb="FFFFF6E0"/>
        </patternFill>
      </fill>
    </dxf>
    <dxf>
      <fill>
        <patternFill patternType="solid">
          <b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4"/>
  <sheetViews>
    <sheetView showGridLines="0" workbookViewId="0"/>
  </sheetViews>
  <sheetFormatPr defaultRowHeight="16.899999999999999" x14ac:dyDescent="0.6"/>
  <cols>
    <col min="1" max="1" width="3" customWidth="1"/>
    <col min="2" max="2" width="16" customWidth="1"/>
    <col min="3" max="3" width="12" customWidth="1"/>
    <col min="4" max="5" width="14" customWidth="1"/>
    <col min="6" max="6" width="30" customWidth="1"/>
  </cols>
  <sheetData>
    <row r="2" spans="2:6" ht="34.049999999999997" customHeight="1" x14ac:dyDescent="0.6">
      <c r="B2" s="28" t="s">
        <v>0</v>
      </c>
      <c r="C2" s="24"/>
      <c r="D2" s="24"/>
      <c r="E2" s="24"/>
      <c r="F2" s="24"/>
    </row>
    <row r="3" spans="2:6" x14ac:dyDescent="0.6">
      <c r="B3" s="25" t="s">
        <v>1</v>
      </c>
      <c r="C3" s="24"/>
      <c r="D3" s="24"/>
      <c r="E3" s="24"/>
      <c r="F3" s="24"/>
    </row>
    <row r="5" spans="2:6" ht="19.5" x14ac:dyDescent="0.6">
      <c r="B5" s="27" t="s">
        <v>2</v>
      </c>
      <c r="C5" s="24"/>
      <c r="D5" s="24"/>
      <c r="E5" s="24"/>
      <c r="F5" s="24"/>
    </row>
    <row r="6" spans="2:6" x14ac:dyDescent="0.6">
      <c r="B6" s="26" t="s">
        <v>3</v>
      </c>
      <c r="C6" s="24"/>
      <c r="D6" s="24"/>
      <c r="E6" s="24"/>
      <c r="F6" s="24"/>
    </row>
    <row r="7" spans="2:6" x14ac:dyDescent="0.6">
      <c r="B7" s="25" t="s">
        <v>4</v>
      </c>
      <c r="C7" s="24"/>
      <c r="D7" s="24"/>
      <c r="E7" s="24"/>
      <c r="F7" s="24"/>
    </row>
    <row r="9" spans="2:6" ht="19.5" x14ac:dyDescent="0.6">
      <c r="B9" s="27" t="s">
        <v>5</v>
      </c>
      <c r="C9" s="24"/>
      <c r="D9" s="24"/>
      <c r="E9" s="24"/>
      <c r="F9" s="24"/>
    </row>
    <row r="10" spans="2:6" ht="30" customHeight="1" x14ac:dyDescent="0.6">
      <c r="B10" s="23" t="s">
        <v>6</v>
      </c>
      <c r="C10" s="24"/>
      <c r="D10" s="24"/>
      <c r="E10" s="24"/>
      <c r="F10" s="24"/>
    </row>
    <row r="11" spans="2:6" ht="30" customHeight="1" x14ac:dyDescent="0.6">
      <c r="B11" s="23" t="s">
        <v>7</v>
      </c>
      <c r="C11" s="24"/>
      <c r="D11" s="24"/>
      <c r="E11" s="24"/>
      <c r="F11" s="24"/>
    </row>
    <row r="13" spans="2:6" ht="19.5" x14ac:dyDescent="0.6">
      <c r="B13" s="27" t="s">
        <v>8</v>
      </c>
      <c r="C13" s="24"/>
      <c r="D13" s="24"/>
      <c r="E13" s="24"/>
      <c r="F13" s="24"/>
    </row>
    <row r="14" spans="2:6" ht="30" customHeight="1" x14ac:dyDescent="0.6">
      <c r="B14" s="23" t="s">
        <v>9</v>
      </c>
      <c r="C14" s="24"/>
      <c r="D14" s="24"/>
      <c r="E14" s="24"/>
      <c r="F14" s="24"/>
    </row>
    <row r="16" spans="2:6" x14ac:dyDescent="0.6">
      <c r="B16" s="1" t="s">
        <v>10</v>
      </c>
      <c r="C16" s="1" t="s">
        <v>11</v>
      </c>
      <c r="D16" s="1" t="s">
        <v>12</v>
      </c>
      <c r="E16" s="1" t="s">
        <v>13</v>
      </c>
      <c r="F16" s="1" t="s">
        <v>14</v>
      </c>
    </row>
    <row r="17" spans="2:6" x14ac:dyDescent="0.6">
      <c r="B17" s="2" t="s">
        <v>15</v>
      </c>
      <c r="C17" s="3" t="s">
        <v>16</v>
      </c>
      <c r="D17" s="3" t="s">
        <v>17</v>
      </c>
      <c r="E17" s="4" t="s">
        <v>18</v>
      </c>
      <c r="F17" s="3" t="s">
        <v>19</v>
      </c>
    </row>
    <row r="18" spans="2:6" x14ac:dyDescent="0.6">
      <c r="B18" s="2" t="s">
        <v>20</v>
      </c>
      <c r="C18" s="3" t="s">
        <v>16</v>
      </c>
      <c r="D18" s="3" t="s">
        <v>17</v>
      </c>
      <c r="E18" s="4" t="s">
        <v>18</v>
      </c>
      <c r="F18" s="3" t="s">
        <v>19</v>
      </c>
    </row>
    <row r="19" spans="2:6" x14ac:dyDescent="0.6">
      <c r="B19" s="5" t="s">
        <v>21</v>
      </c>
      <c r="C19" s="6" t="s">
        <v>22</v>
      </c>
      <c r="D19" s="6" t="s">
        <v>23</v>
      </c>
      <c r="E19" s="7" t="s">
        <v>24</v>
      </c>
      <c r="F19" s="6" t="s">
        <v>25</v>
      </c>
    </row>
    <row r="20" spans="2:6" x14ac:dyDescent="0.6">
      <c r="B20" s="5" t="s">
        <v>26</v>
      </c>
      <c r="C20" s="6" t="s">
        <v>27</v>
      </c>
      <c r="D20" s="6" t="s">
        <v>28</v>
      </c>
      <c r="E20" s="7" t="s">
        <v>24</v>
      </c>
      <c r="F20" s="6" t="s">
        <v>29</v>
      </c>
    </row>
    <row r="21" spans="2:6" x14ac:dyDescent="0.6">
      <c r="B21" s="8" t="s">
        <v>30</v>
      </c>
      <c r="C21" s="9" t="s">
        <v>31</v>
      </c>
      <c r="D21" s="9" t="s">
        <v>32</v>
      </c>
      <c r="E21" s="10" t="s">
        <v>33</v>
      </c>
      <c r="F21" s="9" t="s">
        <v>34</v>
      </c>
    </row>
    <row r="24" spans="2:6" ht="19.5" x14ac:dyDescent="0.6">
      <c r="B24" s="27" t="s">
        <v>35</v>
      </c>
      <c r="C24" s="24"/>
      <c r="D24" s="24"/>
      <c r="E24" s="24"/>
      <c r="F24" s="24"/>
    </row>
    <row r="25" spans="2:6" x14ac:dyDescent="0.6">
      <c r="B25" s="26" t="s">
        <v>36</v>
      </c>
      <c r="C25" s="24"/>
      <c r="D25" s="24"/>
      <c r="E25" s="24"/>
      <c r="F25" s="24"/>
    </row>
    <row r="26" spans="2:6" x14ac:dyDescent="0.6">
      <c r="B26" s="25" t="s">
        <v>37</v>
      </c>
      <c r="C26" s="24"/>
      <c r="D26" s="24"/>
      <c r="E26" s="24"/>
      <c r="F26" s="24"/>
    </row>
    <row r="28" spans="2:6" ht="19.5" x14ac:dyDescent="0.6">
      <c r="B28" s="27" t="s">
        <v>38</v>
      </c>
      <c r="C28" s="24"/>
      <c r="D28" s="24"/>
      <c r="E28" s="24"/>
      <c r="F28" s="24"/>
    </row>
    <row r="29" spans="2:6" ht="30" customHeight="1" x14ac:dyDescent="0.6">
      <c r="B29" s="23" t="s">
        <v>39</v>
      </c>
      <c r="C29" s="24"/>
      <c r="D29" s="24"/>
      <c r="E29" s="24"/>
      <c r="F29" s="24"/>
    </row>
    <row r="31" spans="2:6" ht="19.5" x14ac:dyDescent="0.6">
      <c r="B31" s="30" t="s">
        <v>40</v>
      </c>
      <c r="C31" s="24"/>
      <c r="D31" s="24"/>
      <c r="E31" s="24"/>
      <c r="F31" s="24"/>
    </row>
    <row r="32" spans="2:6" ht="32" customHeight="1" x14ac:dyDescent="0.6">
      <c r="B32" s="23" t="s">
        <v>41</v>
      </c>
      <c r="C32" s="24"/>
      <c r="D32" s="24"/>
      <c r="E32" s="24"/>
      <c r="F32" s="24"/>
    </row>
    <row r="34" spans="2:6" ht="30" customHeight="1" x14ac:dyDescent="0.6">
      <c r="B34" s="29" t="s">
        <v>42</v>
      </c>
      <c r="C34" s="24"/>
      <c r="D34" s="24"/>
      <c r="E34" s="24"/>
      <c r="F34" s="24"/>
    </row>
  </sheetData>
  <mergeCells count="18">
    <mergeCell ref="B34:F34"/>
    <mergeCell ref="B10:F10"/>
    <mergeCell ref="B11:F11"/>
    <mergeCell ref="B25:F25"/>
    <mergeCell ref="B3:F3"/>
    <mergeCell ref="B5:F5"/>
    <mergeCell ref="B28:F28"/>
    <mergeCell ref="B31:F31"/>
    <mergeCell ref="B14:F14"/>
    <mergeCell ref="B32:F32"/>
    <mergeCell ref="B26:F26"/>
    <mergeCell ref="B9:F9"/>
    <mergeCell ref="B13:F13"/>
    <mergeCell ref="B29:F29"/>
    <mergeCell ref="B7:F7"/>
    <mergeCell ref="B6:F6"/>
    <mergeCell ref="B24:F24"/>
    <mergeCell ref="B2:F2"/>
  </mergeCells>
  <phoneticPr fontId="1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83"/>
  <sheetViews>
    <sheetView showGridLines="0" tabSelected="1" workbookViewId="0">
      <pane ySplit="3" topLeftCell="A4" activePane="bottomLeft" state="frozen"/>
      <selection pane="bottomLeft" activeCell="D14" sqref="D14"/>
    </sheetView>
  </sheetViews>
  <sheetFormatPr defaultRowHeight="16.899999999999999" x14ac:dyDescent="0.6"/>
  <cols>
    <col min="1" max="1" width="7" customWidth="1"/>
    <col min="2" max="2" width="13" customWidth="1"/>
    <col min="3" max="3" width="6" customWidth="1"/>
    <col min="4" max="4" width="20" customWidth="1"/>
    <col min="5" max="5" width="78.4375" customWidth="1"/>
    <col min="6" max="6" width="8" customWidth="1"/>
    <col min="7" max="7" width="12" customWidth="1"/>
    <col min="8" max="8" width="7" customWidth="1"/>
    <col min="9" max="9" width="22" customWidth="1"/>
  </cols>
  <sheetData>
    <row r="1" spans="1:9" ht="30" customHeight="1" x14ac:dyDescent="0.6">
      <c r="A1" s="31" t="s">
        <v>43</v>
      </c>
      <c r="B1" s="24"/>
      <c r="C1" s="24"/>
      <c r="D1" s="24"/>
      <c r="E1" s="24"/>
      <c r="F1" s="24"/>
      <c r="G1" s="24"/>
      <c r="H1" s="24"/>
      <c r="I1" s="24"/>
    </row>
    <row r="3" spans="1:9" ht="26" customHeight="1" x14ac:dyDescent="0.6">
      <c r="A3" s="11" t="s">
        <v>44</v>
      </c>
      <c r="B3" s="11" t="s">
        <v>45</v>
      </c>
      <c r="C3" s="11" t="s">
        <v>46</v>
      </c>
      <c r="D3" s="12" t="s">
        <v>47</v>
      </c>
      <c r="E3" s="12" t="s">
        <v>48</v>
      </c>
      <c r="F3" s="11" t="s">
        <v>49</v>
      </c>
      <c r="G3" s="11" t="s">
        <v>13</v>
      </c>
      <c r="H3" s="11" t="s">
        <v>50</v>
      </c>
      <c r="I3" s="11" t="s">
        <v>51</v>
      </c>
    </row>
    <row r="4" spans="1:9" ht="33.75" x14ac:dyDescent="0.6">
      <c r="A4" s="13">
        <v>1</v>
      </c>
      <c r="B4" s="13" t="s">
        <v>52</v>
      </c>
      <c r="C4" s="13" t="s">
        <v>53</v>
      </c>
      <c r="D4" s="14" t="s">
        <v>253</v>
      </c>
      <c r="E4" s="15" t="s">
        <v>254</v>
      </c>
      <c r="F4" s="16">
        <f t="shared" ref="F4:F35" si="0">IF($E4="","",LEN(SUBSTITUTE($E4," ",""))+LEN(TRIM($E4))-LEN(SUBSTITUTE(TRIM($E4)," ",""))+1)</f>
        <v>62</v>
      </c>
      <c r="G4" s="16" t="str">
        <f t="shared" ref="G4:G35" si="1">IF($F4="","",IF($F4&gt;76,"너무 김",IF($F4&lt;30,"짧음","좋음")))</f>
        <v>좋음</v>
      </c>
      <c r="H4" s="16"/>
      <c r="I4" s="17"/>
    </row>
    <row r="5" spans="1:9" x14ac:dyDescent="0.6">
      <c r="A5" s="13">
        <v>2</v>
      </c>
      <c r="B5" s="13" t="s">
        <v>54</v>
      </c>
      <c r="C5" s="13" t="s">
        <v>55</v>
      </c>
      <c r="D5" s="14" t="s">
        <v>256</v>
      </c>
      <c r="E5" s="15" t="s">
        <v>255</v>
      </c>
      <c r="F5" s="16">
        <f t="shared" si="0"/>
        <v>36</v>
      </c>
      <c r="G5" s="16" t="str">
        <f t="shared" si="1"/>
        <v>좋음</v>
      </c>
      <c r="H5" s="16"/>
      <c r="I5" s="17"/>
    </row>
    <row r="6" spans="1:9" ht="33.75" x14ac:dyDescent="0.6">
      <c r="A6" s="13">
        <v>3</v>
      </c>
      <c r="B6" s="13" t="s">
        <v>56</v>
      </c>
      <c r="C6" s="13" t="s">
        <v>57</v>
      </c>
      <c r="D6" s="14" t="s">
        <v>258</v>
      </c>
      <c r="E6" s="15" t="s">
        <v>257</v>
      </c>
      <c r="F6" s="16">
        <f t="shared" si="0"/>
        <v>69</v>
      </c>
      <c r="G6" s="16" t="str">
        <f t="shared" si="1"/>
        <v>좋음</v>
      </c>
      <c r="H6" s="16"/>
      <c r="I6" s="17"/>
    </row>
    <row r="7" spans="1:9" x14ac:dyDescent="0.6">
      <c r="A7" s="13">
        <v>4</v>
      </c>
      <c r="B7" s="13" t="s">
        <v>58</v>
      </c>
      <c r="C7" s="13" t="s">
        <v>59</v>
      </c>
      <c r="D7" s="14" t="s">
        <v>260</v>
      </c>
      <c r="E7" s="15" t="s">
        <v>259</v>
      </c>
      <c r="F7" s="16">
        <f t="shared" si="0"/>
        <v>43</v>
      </c>
      <c r="G7" s="16" t="str">
        <f t="shared" si="1"/>
        <v>좋음</v>
      </c>
      <c r="H7" s="16"/>
      <c r="I7" s="17"/>
    </row>
    <row r="8" spans="1:9" x14ac:dyDescent="0.6">
      <c r="A8" s="13">
        <v>5</v>
      </c>
      <c r="B8" s="13" t="s">
        <v>60</v>
      </c>
      <c r="C8" s="13" t="s">
        <v>61</v>
      </c>
      <c r="D8" s="14" t="s">
        <v>262</v>
      </c>
      <c r="E8" s="15" t="s">
        <v>261</v>
      </c>
      <c r="F8" s="16">
        <f t="shared" si="0"/>
        <v>37</v>
      </c>
      <c r="G8" s="16" t="str">
        <f t="shared" si="1"/>
        <v>좋음</v>
      </c>
      <c r="H8" s="16"/>
      <c r="I8" s="17"/>
    </row>
    <row r="9" spans="1:9" x14ac:dyDescent="0.6">
      <c r="A9" s="13">
        <v>6</v>
      </c>
      <c r="B9" s="13" t="s">
        <v>62</v>
      </c>
      <c r="C9" s="13" t="s">
        <v>63</v>
      </c>
      <c r="D9" s="14" t="s">
        <v>264</v>
      </c>
      <c r="E9" s="15" t="s">
        <v>263</v>
      </c>
      <c r="F9" s="16">
        <f t="shared" si="0"/>
        <v>46</v>
      </c>
      <c r="G9" s="16" t="str">
        <f t="shared" si="1"/>
        <v>좋음</v>
      </c>
      <c r="H9" s="16"/>
      <c r="I9" s="17"/>
    </row>
    <row r="10" spans="1:9" x14ac:dyDescent="0.6">
      <c r="A10" s="13">
        <v>7</v>
      </c>
      <c r="B10" s="18" t="s">
        <v>64</v>
      </c>
      <c r="C10" s="19" t="s">
        <v>65</v>
      </c>
      <c r="D10" s="14" t="s">
        <v>266</v>
      </c>
      <c r="E10" s="15" t="s">
        <v>265</v>
      </c>
      <c r="F10" s="16">
        <f t="shared" si="0"/>
        <v>44</v>
      </c>
      <c r="G10" s="16" t="str">
        <f t="shared" si="1"/>
        <v>좋음</v>
      </c>
      <c r="H10" s="16"/>
      <c r="I10" s="17"/>
    </row>
    <row r="11" spans="1:9" x14ac:dyDescent="0.6">
      <c r="A11" s="13">
        <v>8</v>
      </c>
      <c r="B11" s="13" t="s">
        <v>66</v>
      </c>
      <c r="C11" s="13" t="s">
        <v>53</v>
      </c>
      <c r="D11" s="14" t="s">
        <v>268</v>
      </c>
      <c r="E11" s="15" t="s">
        <v>267</v>
      </c>
      <c r="F11" s="16">
        <f t="shared" si="0"/>
        <v>44</v>
      </c>
      <c r="G11" s="16" t="str">
        <f t="shared" si="1"/>
        <v>좋음</v>
      </c>
      <c r="H11" s="16"/>
      <c r="I11" s="17"/>
    </row>
    <row r="12" spans="1:9" x14ac:dyDescent="0.6">
      <c r="A12" s="13">
        <v>9</v>
      </c>
      <c r="B12" s="13" t="s">
        <v>67</v>
      </c>
      <c r="C12" s="13" t="s">
        <v>55</v>
      </c>
      <c r="D12" s="14" t="s">
        <v>270</v>
      </c>
      <c r="E12" s="15" t="s">
        <v>269</v>
      </c>
      <c r="F12" s="16">
        <f t="shared" si="0"/>
        <v>35</v>
      </c>
      <c r="G12" s="16" t="str">
        <f t="shared" si="1"/>
        <v>좋음</v>
      </c>
      <c r="H12" s="16"/>
      <c r="I12" s="17"/>
    </row>
    <row r="13" spans="1:9" x14ac:dyDescent="0.6">
      <c r="A13" s="13">
        <v>10</v>
      </c>
      <c r="B13" s="13" t="s">
        <v>68</v>
      </c>
      <c r="C13" s="13" t="s">
        <v>57</v>
      </c>
      <c r="D13" s="14" t="s">
        <v>272</v>
      </c>
      <c r="E13" s="15" t="s">
        <v>271</v>
      </c>
      <c r="F13" s="16">
        <f t="shared" si="0"/>
        <v>44</v>
      </c>
      <c r="G13" s="16" t="str">
        <f t="shared" si="1"/>
        <v>좋음</v>
      </c>
      <c r="H13" s="16"/>
      <c r="I13" s="17"/>
    </row>
    <row r="14" spans="1:9" x14ac:dyDescent="0.6">
      <c r="A14" s="13">
        <v>11</v>
      </c>
      <c r="B14" s="13" t="s">
        <v>69</v>
      </c>
      <c r="C14" s="13" t="s">
        <v>59</v>
      </c>
      <c r="D14" s="14"/>
      <c r="E14" s="15"/>
      <c r="F14" s="16" t="str">
        <f t="shared" si="0"/>
        <v/>
      </c>
      <c r="G14" s="16" t="str">
        <f t="shared" si="1"/>
        <v/>
      </c>
      <c r="H14" s="16"/>
      <c r="I14" s="17"/>
    </row>
    <row r="15" spans="1:9" x14ac:dyDescent="0.6">
      <c r="A15" s="13">
        <v>12</v>
      </c>
      <c r="B15" s="13" t="s">
        <v>70</v>
      </c>
      <c r="C15" s="13" t="s">
        <v>61</v>
      </c>
      <c r="D15" s="14"/>
      <c r="E15" s="15"/>
      <c r="F15" s="16" t="str">
        <f t="shared" si="0"/>
        <v/>
      </c>
      <c r="G15" s="16" t="str">
        <f t="shared" si="1"/>
        <v/>
      </c>
      <c r="H15" s="16"/>
      <c r="I15" s="17"/>
    </row>
    <row r="16" spans="1:9" x14ac:dyDescent="0.6">
      <c r="A16" s="13">
        <v>13</v>
      </c>
      <c r="B16" s="13" t="s">
        <v>71</v>
      </c>
      <c r="C16" s="13" t="s">
        <v>63</v>
      </c>
      <c r="D16" s="14"/>
      <c r="E16" s="15"/>
      <c r="F16" s="16" t="str">
        <f t="shared" si="0"/>
        <v/>
      </c>
      <c r="G16" s="16" t="str">
        <f t="shared" si="1"/>
        <v/>
      </c>
      <c r="H16" s="16"/>
      <c r="I16" s="17"/>
    </row>
    <row r="17" spans="1:9" x14ac:dyDescent="0.6">
      <c r="A17" s="13">
        <v>14</v>
      </c>
      <c r="B17" s="18" t="s">
        <v>72</v>
      </c>
      <c r="C17" s="19" t="s">
        <v>65</v>
      </c>
      <c r="D17" s="14"/>
      <c r="E17" s="15"/>
      <c r="F17" s="16" t="str">
        <f t="shared" si="0"/>
        <v/>
      </c>
      <c r="G17" s="16" t="str">
        <f t="shared" si="1"/>
        <v/>
      </c>
      <c r="H17" s="16"/>
      <c r="I17" s="17"/>
    </row>
    <row r="18" spans="1:9" x14ac:dyDescent="0.6">
      <c r="A18" s="13">
        <v>15</v>
      </c>
      <c r="B18" s="13" t="s">
        <v>73</v>
      </c>
      <c r="C18" s="13" t="s">
        <v>53</v>
      </c>
      <c r="D18" s="14"/>
      <c r="E18" s="15"/>
      <c r="F18" s="16" t="str">
        <f t="shared" si="0"/>
        <v/>
      </c>
      <c r="G18" s="16" t="str">
        <f t="shared" si="1"/>
        <v/>
      </c>
      <c r="H18" s="16"/>
      <c r="I18" s="17"/>
    </row>
    <row r="19" spans="1:9" x14ac:dyDescent="0.6">
      <c r="A19" s="13">
        <v>16</v>
      </c>
      <c r="B19" s="13" t="s">
        <v>74</v>
      </c>
      <c r="C19" s="13" t="s">
        <v>55</v>
      </c>
      <c r="D19" s="14"/>
      <c r="E19" s="15"/>
      <c r="F19" s="16" t="str">
        <f t="shared" si="0"/>
        <v/>
      </c>
      <c r="G19" s="16" t="str">
        <f t="shared" si="1"/>
        <v/>
      </c>
      <c r="H19" s="16"/>
      <c r="I19" s="17"/>
    </row>
    <row r="20" spans="1:9" x14ac:dyDescent="0.6">
      <c r="A20" s="13">
        <v>17</v>
      </c>
      <c r="B20" s="13" t="s">
        <v>75</v>
      </c>
      <c r="C20" s="13" t="s">
        <v>57</v>
      </c>
      <c r="D20" s="14"/>
      <c r="E20" s="15"/>
      <c r="F20" s="16" t="str">
        <f t="shared" si="0"/>
        <v/>
      </c>
      <c r="G20" s="16" t="str">
        <f t="shared" si="1"/>
        <v/>
      </c>
      <c r="H20" s="16"/>
      <c r="I20" s="17"/>
    </row>
    <row r="21" spans="1:9" x14ac:dyDescent="0.6">
      <c r="A21" s="13">
        <v>18</v>
      </c>
      <c r="B21" s="13" t="s">
        <v>76</v>
      </c>
      <c r="C21" s="13" t="s">
        <v>59</v>
      </c>
      <c r="D21" s="14"/>
      <c r="E21" s="15"/>
      <c r="F21" s="16" t="str">
        <f t="shared" si="0"/>
        <v/>
      </c>
      <c r="G21" s="16" t="str">
        <f t="shared" si="1"/>
        <v/>
      </c>
      <c r="H21" s="16"/>
      <c r="I21" s="17"/>
    </row>
    <row r="22" spans="1:9" x14ac:dyDescent="0.6">
      <c r="A22" s="13">
        <v>19</v>
      </c>
      <c r="B22" s="13" t="s">
        <v>77</v>
      </c>
      <c r="C22" s="13" t="s">
        <v>61</v>
      </c>
      <c r="D22" s="14"/>
      <c r="E22" s="15"/>
      <c r="F22" s="16" t="str">
        <f t="shared" si="0"/>
        <v/>
      </c>
      <c r="G22" s="16" t="str">
        <f t="shared" si="1"/>
        <v/>
      </c>
      <c r="H22" s="16"/>
      <c r="I22" s="17"/>
    </row>
    <row r="23" spans="1:9" x14ac:dyDescent="0.6">
      <c r="A23" s="13">
        <v>20</v>
      </c>
      <c r="B23" s="13" t="s">
        <v>78</v>
      </c>
      <c r="C23" s="13" t="s">
        <v>63</v>
      </c>
      <c r="D23" s="14"/>
      <c r="E23" s="15"/>
      <c r="F23" s="16" t="str">
        <f t="shared" si="0"/>
        <v/>
      </c>
      <c r="G23" s="16" t="str">
        <f t="shared" si="1"/>
        <v/>
      </c>
      <c r="H23" s="16"/>
      <c r="I23" s="17"/>
    </row>
    <row r="24" spans="1:9" x14ac:dyDescent="0.6">
      <c r="A24" s="13">
        <v>21</v>
      </c>
      <c r="B24" s="18" t="s">
        <v>79</v>
      </c>
      <c r="C24" s="19" t="s">
        <v>65</v>
      </c>
      <c r="D24" s="14"/>
      <c r="E24" s="15"/>
      <c r="F24" s="16" t="str">
        <f t="shared" si="0"/>
        <v/>
      </c>
      <c r="G24" s="16" t="str">
        <f t="shared" si="1"/>
        <v/>
      </c>
      <c r="H24" s="16"/>
      <c r="I24" s="17"/>
    </row>
    <row r="25" spans="1:9" x14ac:dyDescent="0.6">
      <c r="A25" s="13">
        <v>22</v>
      </c>
      <c r="B25" s="13" t="s">
        <v>80</v>
      </c>
      <c r="C25" s="13" t="s">
        <v>53</v>
      </c>
      <c r="D25" s="14"/>
      <c r="E25" s="15"/>
      <c r="F25" s="16" t="str">
        <f t="shared" si="0"/>
        <v/>
      </c>
      <c r="G25" s="16" t="str">
        <f t="shared" si="1"/>
        <v/>
      </c>
      <c r="H25" s="16"/>
      <c r="I25" s="17"/>
    </row>
    <row r="26" spans="1:9" x14ac:dyDescent="0.6">
      <c r="A26" s="13">
        <v>23</v>
      </c>
      <c r="B26" s="13" t="s">
        <v>81</v>
      </c>
      <c r="C26" s="13" t="s">
        <v>55</v>
      </c>
      <c r="D26" s="14"/>
      <c r="E26" s="15"/>
      <c r="F26" s="16" t="str">
        <f t="shared" si="0"/>
        <v/>
      </c>
      <c r="G26" s="16" t="str">
        <f t="shared" si="1"/>
        <v/>
      </c>
      <c r="H26" s="16"/>
      <c r="I26" s="17"/>
    </row>
    <row r="27" spans="1:9" x14ac:dyDescent="0.6">
      <c r="A27" s="13">
        <v>24</v>
      </c>
      <c r="B27" s="13" t="s">
        <v>82</v>
      </c>
      <c r="C27" s="13" t="s">
        <v>57</v>
      </c>
      <c r="D27" s="14"/>
      <c r="E27" s="15"/>
      <c r="F27" s="16" t="str">
        <f t="shared" si="0"/>
        <v/>
      </c>
      <c r="G27" s="16" t="str">
        <f t="shared" si="1"/>
        <v/>
      </c>
      <c r="H27" s="16"/>
      <c r="I27" s="17"/>
    </row>
    <row r="28" spans="1:9" x14ac:dyDescent="0.6">
      <c r="A28" s="13">
        <v>25</v>
      </c>
      <c r="B28" s="13" t="s">
        <v>83</v>
      </c>
      <c r="C28" s="13" t="s">
        <v>59</v>
      </c>
      <c r="D28" s="14"/>
      <c r="E28" s="15"/>
      <c r="F28" s="16" t="str">
        <f t="shared" si="0"/>
        <v/>
      </c>
      <c r="G28" s="16" t="str">
        <f t="shared" si="1"/>
        <v/>
      </c>
      <c r="H28" s="16"/>
      <c r="I28" s="17"/>
    </row>
    <row r="29" spans="1:9" x14ac:dyDescent="0.6">
      <c r="A29" s="13">
        <v>26</v>
      </c>
      <c r="B29" s="13" t="s">
        <v>84</v>
      </c>
      <c r="C29" s="13" t="s">
        <v>61</v>
      </c>
      <c r="D29" s="14"/>
      <c r="E29" s="15"/>
      <c r="F29" s="16" t="str">
        <f t="shared" si="0"/>
        <v/>
      </c>
      <c r="G29" s="16" t="str">
        <f t="shared" si="1"/>
        <v/>
      </c>
      <c r="H29" s="16"/>
      <c r="I29" s="17"/>
    </row>
    <row r="30" spans="1:9" x14ac:dyDescent="0.6">
      <c r="A30" s="13">
        <v>27</v>
      </c>
      <c r="B30" s="13" t="s">
        <v>85</v>
      </c>
      <c r="C30" s="13" t="s">
        <v>63</v>
      </c>
      <c r="D30" s="14"/>
      <c r="E30" s="15"/>
      <c r="F30" s="16" t="str">
        <f t="shared" si="0"/>
        <v/>
      </c>
      <c r="G30" s="16" t="str">
        <f t="shared" si="1"/>
        <v/>
      </c>
      <c r="H30" s="16"/>
      <c r="I30" s="17"/>
    </row>
    <row r="31" spans="1:9" x14ac:dyDescent="0.6">
      <c r="A31" s="13">
        <v>28</v>
      </c>
      <c r="B31" s="18" t="s">
        <v>86</v>
      </c>
      <c r="C31" s="19" t="s">
        <v>65</v>
      </c>
      <c r="D31" s="14"/>
      <c r="E31" s="15"/>
      <c r="F31" s="16" t="str">
        <f t="shared" si="0"/>
        <v/>
      </c>
      <c r="G31" s="16" t="str">
        <f t="shared" si="1"/>
        <v/>
      </c>
      <c r="H31" s="16"/>
      <c r="I31" s="17"/>
    </row>
    <row r="32" spans="1:9" x14ac:dyDescent="0.6">
      <c r="A32" s="13">
        <v>29</v>
      </c>
      <c r="B32" s="13" t="s">
        <v>87</v>
      </c>
      <c r="C32" s="13" t="s">
        <v>53</v>
      </c>
      <c r="D32" s="14"/>
      <c r="E32" s="15"/>
      <c r="F32" s="16" t="str">
        <f t="shared" si="0"/>
        <v/>
      </c>
      <c r="G32" s="16" t="str">
        <f t="shared" si="1"/>
        <v/>
      </c>
      <c r="H32" s="16"/>
      <c r="I32" s="17"/>
    </row>
    <row r="33" spans="1:9" x14ac:dyDescent="0.6">
      <c r="A33" s="13">
        <v>30</v>
      </c>
      <c r="B33" s="13" t="s">
        <v>88</v>
      </c>
      <c r="C33" s="13" t="s">
        <v>55</v>
      </c>
      <c r="D33" s="14"/>
      <c r="E33" s="15"/>
      <c r="F33" s="16" t="str">
        <f t="shared" si="0"/>
        <v/>
      </c>
      <c r="G33" s="16" t="str">
        <f t="shared" si="1"/>
        <v/>
      </c>
      <c r="H33" s="16"/>
      <c r="I33" s="17"/>
    </row>
    <row r="34" spans="1:9" x14ac:dyDescent="0.6">
      <c r="A34" s="13">
        <v>31</v>
      </c>
      <c r="B34" s="13" t="s">
        <v>89</v>
      </c>
      <c r="C34" s="13" t="s">
        <v>57</v>
      </c>
      <c r="D34" s="14"/>
      <c r="E34" s="15"/>
      <c r="F34" s="16" t="str">
        <f t="shared" si="0"/>
        <v/>
      </c>
      <c r="G34" s="16" t="str">
        <f t="shared" si="1"/>
        <v/>
      </c>
      <c r="H34" s="16"/>
      <c r="I34" s="17"/>
    </row>
    <row r="35" spans="1:9" x14ac:dyDescent="0.6">
      <c r="A35" s="13">
        <v>32</v>
      </c>
      <c r="B35" s="13" t="s">
        <v>90</v>
      </c>
      <c r="C35" s="13" t="s">
        <v>59</v>
      </c>
      <c r="D35" s="14"/>
      <c r="E35" s="15"/>
      <c r="F35" s="16" t="str">
        <f t="shared" si="0"/>
        <v/>
      </c>
      <c r="G35" s="16" t="str">
        <f t="shared" si="1"/>
        <v/>
      </c>
      <c r="H35" s="16"/>
      <c r="I35" s="17"/>
    </row>
    <row r="36" spans="1:9" x14ac:dyDescent="0.6">
      <c r="A36" s="13">
        <v>33</v>
      </c>
      <c r="B36" s="13" t="s">
        <v>91</v>
      </c>
      <c r="C36" s="13" t="s">
        <v>61</v>
      </c>
      <c r="D36" s="14"/>
      <c r="E36" s="15"/>
      <c r="F36" s="16" t="str">
        <f t="shared" ref="F36:F67" si="2">IF($E36="","",LEN(SUBSTITUTE($E36," ",""))+LEN(TRIM($E36))-LEN(SUBSTITUTE(TRIM($E36)," ",""))+1)</f>
        <v/>
      </c>
      <c r="G36" s="16" t="str">
        <f t="shared" ref="G36:G67" si="3">IF($F36="","",IF($F36&gt;76,"너무 김",IF($F36&lt;30,"짧음","좋음")))</f>
        <v/>
      </c>
      <c r="H36" s="16"/>
      <c r="I36" s="17"/>
    </row>
    <row r="37" spans="1:9" x14ac:dyDescent="0.6">
      <c r="A37" s="13">
        <v>34</v>
      </c>
      <c r="B37" s="13" t="s">
        <v>92</v>
      </c>
      <c r="C37" s="13" t="s">
        <v>63</v>
      </c>
      <c r="D37" s="14"/>
      <c r="E37" s="15"/>
      <c r="F37" s="16" t="str">
        <f t="shared" si="2"/>
        <v/>
      </c>
      <c r="G37" s="16" t="str">
        <f t="shared" si="3"/>
        <v/>
      </c>
      <c r="H37" s="16"/>
      <c r="I37" s="17"/>
    </row>
    <row r="38" spans="1:9" x14ac:dyDescent="0.6">
      <c r="A38" s="13">
        <v>35</v>
      </c>
      <c r="B38" s="18" t="s">
        <v>93</v>
      </c>
      <c r="C38" s="19" t="s">
        <v>65</v>
      </c>
      <c r="D38" s="14"/>
      <c r="E38" s="15"/>
      <c r="F38" s="16" t="str">
        <f t="shared" si="2"/>
        <v/>
      </c>
      <c r="G38" s="16" t="str">
        <f t="shared" si="3"/>
        <v/>
      </c>
      <c r="H38" s="16"/>
      <c r="I38" s="17"/>
    </row>
    <row r="39" spans="1:9" x14ac:dyDescent="0.6">
      <c r="A39" s="13">
        <v>36</v>
      </c>
      <c r="B39" s="13" t="s">
        <v>94</v>
      </c>
      <c r="C39" s="13" t="s">
        <v>53</v>
      </c>
      <c r="D39" s="14"/>
      <c r="E39" s="15"/>
      <c r="F39" s="16" t="str">
        <f t="shared" si="2"/>
        <v/>
      </c>
      <c r="G39" s="16" t="str">
        <f t="shared" si="3"/>
        <v/>
      </c>
      <c r="H39" s="16"/>
      <c r="I39" s="17"/>
    </row>
    <row r="40" spans="1:9" x14ac:dyDescent="0.6">
      <c r="A40" s="13">
        <v>37</v>
      </c>
      <c r="B40" s="13" t="s">
        <v>95</v>
      </c>
      <c r="C40" s="13" t="s">
        <v>55</v>
      </c>
      <c r="D40" s="14"/>
      <c r="E40" s="15"/>
      <c r="F40" s="16" t="str">
        <f t="shared" si="2"/>
        <v/>
      </c>
      <c r="G40" s="16" t="str">
        <f t="shared" si="3"/>
        <v/>
      </c>
      <c r="H40" s="16"/>
      <c r="I40" s="17"/>
    </row>
    <row r="41" spans="1:9" x14ac:dyDescent="0.6">
      <c r="A41" s="13">
        <v>38</v>
      </c>
      <c r="B41" s="13" t="s">
        <v>96</v>
      </c>
      <c r="C41" s="13" t="s">
        <v>57</v>
      </c>
      <c r="D41" s="14"/>
      <c r="E41" s="15"/>
      <c r="F41" s="16" t="str">
        <f t="shared" si="2"/>
        <v/>
      </c>
      <c r="G41" s="16" t="str">
        <f t="shared" si="3"/>
        <v/>
      </c>
      <c r="H41" s="16"/>
      <c r="I41" s="17"/>
    </row>
    <row r="42" spans="1:9" x14ac:dyDescent="0.6">
      <c r="A42" s="13">
        <v>39</v>
      </c>
      <c r="B42" s="13" t="s">
        <v>97</v>
      </c>
      <c r="C42" s="13" t="s">
        <v>59</v>
      </c>
      <c r="D42" s="14"/>
      <c r="E42" s="15"/>
      <c r="F42" s="16" t="str">
        <f t="shared" si="2"/>
        <v/>
      </c>
      <c r="G42" s="16" t="str">
        <f t="shared" si="3"/>
        <v/>
      </c>
      <c r="H42" s="16"/>
      <c r="I42" s="17"/>
    </row>
    <row r="43" spans="1:9" x14ac:dyDescent="0.6">
      <c r="A43" s="13">
        <v>40</v>
      </c>
      <c r="B43" s="13" t="s">
        <v>98</v>
      </c>
      <c r="C43" s="13" t="s">
        <v>61</v>
      </c>
      <c r="D43" s="14"/>
      <c r="E43" s="15"/>
      <c r="F43" s="16" t="str">
        <f t="shared" si="2"/>
        <v/>
      </c>
      <c r="G43" s="16" t="str">
        <f t="shared" si="3"/>
        <v/>
      </c>
      <c r="H43" s="16"/>
      <c r="I43" s="17"/>
    </row>
    <row r="44" spans="1:9" x14ac:dyDescent="0.6">
      <c r="A44" s="13">
        <v>41</v>
      </c>
      <c r="B44" s="13" t="s">
        <v>99</v>
      </c>
      <c r="C44" s="13" t="s">
        <v>63</v>
      </c>
      <c r="D44" s="14"/>
      <c r="E44" s="15"/>
      <c r="F44" s="16" t="str">
        <f t="shared" si="2"/>
        <v/>
      </c>
      <c r="G44" s="16" t="str">
        <f t="shared" si="3"/>
        <v/>
      </c>
      <c r="H44" s="16"/>
      <c r="I44" s="17"/>
    </row>
    <row r="45" spans="1:9" x14ac:dyDescent="0.6">
      <c r="A45" s="13">
        <v>42</v>
      </c>
      <c r="B45" s="18" t="s">
        <v>100</v>
      </c>
      <c r="C45" s="19" t="s">
        <v>65</v>
      </c>
      <c r="D45" s="14"/>
      <c r="E45" s="15"/>
      <c r="F45" s="16" t="str">
        <f t="shared" si="2"/>
        <v/>
      </c>
      <c r="G45" s="16" t="str">
        <f t="shared" si="3"/>
        <v/>
      </c>
      <c r="H45" s="16"/>
      <c r="I45" s="17"/>
    </row>
    <row r="46" spans="1:9" x14ac:dyDescent="0.6">
      <c r="A46" s="13">
        <v>43</v>
      </c>
      <c r="B46" s="13" t="s">
        <v>101</v>
      </c>
      <c r="C46" s="13" t="s">
        <v>53</v>
      </c>
      <c r="D46" s="14"/>
      <c r="E46" s="15"/>
      <c r="F46" s="16" t="str">
        <f t="shared" si="2"/>
        <v/>
      </c>
      <c r="G46" s="16" t="str">
        <f t="shared" si="3"/>
        <v/>
      </c>
      <c r="H46" s="16"/>
      <c r="I46" s="17"/>
    </row>
    <row r="47" spans="1:9" x14ac:dyDescent="0.6">
      <c r="A47" s="13">
        <v>44</v>
      </c>
      <c r="B47" s="13" t="s">
        <v>102</v>
      </c>
      <c r="C47" s="13" t="s">
        <v>55</v>
      </c>
      <c r="D47" s="14"/>
      <c r="E47" s="15"/>
      <c r="F47" s="16" t="str">
        <f t="shared" si="2"/>
        <v/>
      </c>
      <c r="G47" s="16" t="str">
        <f t="shared" si="3"/>
        <v/>
      </c>
      <c r="H47" s="16"/>
      <c r="I47" s="17"/>
    </row>
    <row r="48" spans="1:9" x14ac:dyDescent="0.6">
      <c r="A48" s="13">
        <v>45</v>
      </c>
      <c r="B48" s="13" t="s">
        <v>103</v>
      </c>
      <c r="C48" s="13" t="s">
        <v>57</v>
      </c>
      <c r="D48" s="14"/>
      <c r="E48" s="15"/>
      <c r="F48" s="16" t="str">
        <f t="shared" si="2"/>
        <v/>
      </c>
      <c r="G48" s="16" t="str">
        <f t="shared" si="3"/>
        <v/>
      </c>
      <c r="H48" s="16"/>
      <c r="I48" s="17"/>
    </row>
    <row r="49" spans="1:9" x14ac:dyDescent="0.6">
      <c r="A49" s="13">
        <v>46</v>
      </c>
      <c r="B49" s="13" t="s">
        <v>104</v>
      </c>
      <c r="C49" s="13" t="s">
        <v>59</v>
      </c>
      <c r="D49" s="14"/>
      <c r="E49" s="15"/>
      <c r="F49" s="16" t="str">
        <f t="shared" si="2"/>
        <v/>
      </c>
      <c r="G49" s="16" t="str">
        <f t="shared" si="3"/>
        <v/>
      </c>
      <c r="H49" s="16"/>
      <c r="I49" s="17"/>
    </row>
    <row r="50" spans="1:9" x14ac:dyDescent="0.6">
      <c r="A50" s="13">
        <v>47</v>
      </c>
      <c r="B50" s="13" t="s">
        <v>105</v>
      </c>
      <c r="C50" s="13" t="s">
        <v>61</v>
      </c>
      <c r="D50" s="14"/>
      <c r="E50" s="15"/>
      <c r="F50" s="16" t="str">
        <f t="shared" si="2"/>
        <v/>
      </c>
      <c r="G50" s="16" t="str">
        <f t="shared" si="3"/>
        <v/>
      </c>
      <c r="H50" s="16"/>
      <c r="I50" s="17"/>
    </row>
    <row r="51" spans="1:9" x14ac:dyDescent="0.6">
      <c r="A51" s="13">
        <v>48</v>
      </c>
      <c r="B51" s="13" t="s">
        <v>106</v>
      </c>
      <c r="C51" s="13" t="s">
        <v>63</v>
      </c>
      <c r="D51" s="14"/>
      <c r="E51" s="15"/>
      <c r="F51" s="16" t="str">
        <f t="shared" si="2"/>
        <v/>
      </c>
      <c r="G51" s="16" t="str">
        <f t="shared" si="3"/>
        <v/>
      </c>
      <c r="H51" s="16"/>
      <c r="I51" s="17"/>
    </row>
    <row r="52" spans="1:9" x14ac:dyDescent="0.6">
      <c r="A52" s="13">
        <v>49</v>
      </c>
      <c r="B52" s="18" t="s">
        <v>107</v>
      </c>
      <c r="C52" s="19" t="s">
        <v>65</v>
      </c>
      <c r="D52" s="14"/>
      <c r="E52" s="15"/>
      <c r="F52" s="16" t="str">
        <f t="shared" si="2"/>
        <v/>
      </c>
      <c r="G52" s="16" t="str">
        <f t="shared" si="3"/>
        <v/>
      </c>
      <c r="H52" s="16"/>
      <c r="I52" s="17"/>
    </row>
    <row r="53" spans="1:9" x14ac:dyDescent="0.6">
      <c r="A53" s="13">
        <v>50</v>
      </c>
      <c r="B53" s="13" t="s">
        <v>108</v>
      </c>
      <c r="C53" s="13" t="s">
        <v>53</v>
      </c>
      <c r="D53" s="14"/>
      <c r="E53" s="15"/>
      <c r="F53" s="16" t="str">
        <f t="shared" si="2"/>
        <v/>
      </c>
      <c r="G53" s="16" t="str">
        <f t="shared" si="3"/>
        <v/>
      </c>
      <c r="H53" s="16"/>
      <c r="I53" s="17"/>
    </row>
    <row r="54" spans="1:9" x14ac:dyDescent="0.6">
      <c r="A54" s="13">
        <v>51</v>
      </c>
      <c r="B54" s="13" t="s">
        <v>109</v>
      </c>
      <c r="C54" s="13" t="s">
        <v>55</v>
      </c>
      <c r="D54" s="14"/>
      <c r="E54" s="15"/>
      <c r="F54" s="16" t="str">
        <f t="shared" si="2"/>
        <v/>
      </c>
      <c r="G54" s="16" t="str">
        <f t="shared" si="3"/>
        <v/>
      </c>
      <c r="H54" s="16"/>
      <c r="I54" s="17"/>
    </row>
    <row r="55" spans="1:9" x14ac:dyDescent="0.6">
      <c r="A55" s="13">
        <v>52</v>
      </c>
      <c r="B55" s="13" t="s">
        <v>110</v>
      </c>
      <c r="C55" s="13" t="s">
        <v>57</v>
      </c>
      <c r="D55" s="14"/>
      <c r="E55" s="15"/>
      <c r="F55" s="16" t="str">
        <f t="shared" si="2"/>
        <v/>
      </c>
      <c r="G55" s="16" t="str">
        <f t="shared" si="3"/>
        <v/>
      </c>
      <c r="H55" s="16"/>
      <c r="I55" s="17"/>
    </row>
    <row r="56" spans="1:9" x14ac:dyDescent="0.6">
      <c r="A56" s="13">
        <v>53</v>
      </c>
      <c r="B56" s="13" t="s">
        <v>111</v>
      </c>
      <c r="C56" s="13" t="s">
        <v>59</v>
      </c>
      <c r="D56" s="14"/>
      <c r="E56" s="15"/>
      <c r="F56" s="16" t="str">
        <f t="shared" si="2"/>
        <v/>
      </c>
      <c r="G56" s="16" t="str">
        <f t="shared" si="3"/>
        <v/>
      </c>
      <c r="H56" s="16"/>
      <c r="I56" s="17"/>
    </row>
    <row r="57" spans="1:9" x14ac:dyDescent="0.6">
      <c r="A57" s="13">
        <v>54</v>
      </c>
      <c r="B57" s="13" t="s">
        <v>112</v>
      </c>
      <c r="C57" s="13" t="s">
        <v>61</v>
      </c>
      <c r="D57" s="14"/>
      <c r="E57" s="15"/>
      <c r="F57" s="16" t="str">
        <f t="shared" si="2"/>
        <v/>
      </c>
      <c r="G57" s="16" t="str">
        <f t="shared" si="3"/>
        <v/>
      </c>
      <c r="H57" s="16"/>
      <c r="I57" s="17"/>
    </row>
    <row r="58" spans="1:9" x14ac:dyDescent="0.6">
      <c r="A58" s="13">
        <v>55</v>
      </c>
      <c r="B58" s="13" t="s">
        <v>113</v>
      </c>
      <c r="C58" s="13" t="s">
        <v>63</v>
      </c>
      <c r="D58" s="14"/>
      <c r="E58" s="15"/>
      <c r="F58" s="16" t="str">
        <f t="shared" si="2"/>
        <v/>
      </c>
      <c r="G58" s="16" t="str">
        <f t="shared" si="3"/>
        <v/>
      </c>
      <c r="H58" s="16"/>
      <c r="I58" s="17"/>
    </row>
    <row r="59" spans="1:9" x14ac:dyDescent="0.6">
      <c r="A59" s="13">
        <v>56</v>
      </c>
      <c r="B59" s="18" t="s">
        <v>114</v>
      </c>
      <c r="C59" s="19" t="s">
        <v>65</v>
      </c>
      <c r="D59" s="14"/>
      <c r="E59" s="15"/>
      <c r="F59" s="16" t="str">
        <f t="shared" si="2"/>
        <v/>
      </c>
      <c r="G59" s="16" t="str">
        <f t="shared" si="3"/>
        <v/>
      </c>
      <c r="H59" s="16"/>
      <c r="I59" s="17"/>
    </row>
    <row r="60" spans="1:9" x14ac:dyDescent="0.6">
      <c r="A60" s="13">
        <v>57</v>
      </c>
      <c r="B60" s="13" t="s">
        <v>115</v>
      </c>
      <c r="C60" s="13" t="s">
        <v>53</v>
      </c>
      <c r="D60" s="14"/>
      <c r="E60" s="15"/>
      <c r="F60" s="16" t="str">
        <f t="shared" si="2"/>
        <v/>
      </c>
      <c r="G60" s="16" t="str">
        <f t="shared" si="3"/>
        <v/>
      </c>
      <c r="H60" s="16"/>
      <c r="I60" s="17"/>
    </row>
    <row r="61" spans="1:9" x14ac:dyDescent="0.6">
      <c r="A61" s="13">
        <v>58</v>
      </c>
      <c r="B61" s="13" t="s">
        <v>116</v>
      </c>
      <c r="C61" s="13" t="s">
        <v>55</v>
      </c>
      <c r="D61" s="14"/>
      <c r="E61" s="15"/>
      <c r="F61" s="16" t="str">
        <f t="shared" si="2"/>
        <v/>
      </c>
      <c r="G61" s="16" t="str">
        <f t="shared" si="3"/>
        <v/>
      </c>
      <c r="H61" s="16"/>
      <c r="I61" s="17"/>
    </row>
    <row r="62" spans="1:9" x14ac:dyDescent="0.6">
      <c r="A62" s="13">
        <v>59</v>
      </c>
      <c r="B62" s="13" t="s">
        <v>117</v>
      </c>
      <c r="C62" s="13" t="s">
        <v>57</v>
      </c>
      <c r="D62" s="14"/>
      <c r="E62" s="15"/>
      <c r="F62" s="16" t="str">
        <f t="shared" si="2"/>
        <v/>
      </c>
      <c r="G62" s="16" t="str">
        <f t="shared" si="3"/>
        <v/>
      </c>
      <c r="H62" s="16"/>
      <c r="I62" s="17"/>
    </row>
    <row r="63" spans="1:9" x14ac:dyDescent="0.6">
      <c r="A63" s="13">
        <v>60</v>
      </c>
      <c r="B63" s="13" t="s">
        <v>118</v>
      </c>
      <c r="C63" s="13" t="s">
        <v>59</v>
      </c>
      <c r="D63" s="14"/>
      <c r="E63" s="15"/>
      <c r="F63" s="16" t="str">
        <f t="shared" si="2"/>
        <v/>
      </c>
      <c r="G63" s="16" t="str">
        <f t="shared" si="3"/>
        <v/>
      </c>
      <c r="H63" s="16"/>
      <c r="I63" s="17"/>
    </row>
    <row r="64" spans="1:9" x14ac:dyDescent="0.6">
      <c r="A64" s="13">
        <v>61</v>
      </c>
      <c r="B64" s="13" t="s">
        <v>119</v>
      </c>
      <c r="C64" s="13" t="s">
        <v>61</v>
      </c>
      <c r="D64" s="14"/>
      <c r="E64" s="15"/>
      <c r="F64" s="16" t="str">
        <f t="shared" si="2"/>
        <v/>
      </c>
      <c r="G64" s="16" t="str">
        <f t="shared" si="3"/>
        <v/>
      </c>
      <c r="H64" s="16"/>
      <c r="I64" s="17"/>
    </row>
    <row r="65" spans="1:9" x14ac:dyDescent="0.6">
      <c r="A65" s="13">
        <v>62</v>
      </c>
      <c r="B65" s="13" t="s">
        <v>120</v>
      </c>
      <c r="C65" s="13" t="s">
        <v>63</v>
      </c>
      <c r="D65" s="14"/>
      <c r="E65" s="15"/>
      <c r="F65" s="16" t="str">
        <f t="shared" si="2"/>
        <v/>
      </c>
      <c r="G65" s="16" t="str">
        <f t="shared" si="3"/>
        <v/>
      </c>
      <c r="H65" s="16"/>
      <c r="I65" s="17"/>
    </row>
    <row r="66" spans="1:9" x14ac:dyDescent="0.6">
      <c r="A66" s="13">
        <v>63</v>
      </c>
      <c r="B66" s="18" t="s">
        <v>121</v>
      </c>
      <c r="C66" s="19" t="s">
        <v>65</v>
      </c>
      <c r="D66" s="14"/>
      <c r="E66" s="15"/>
      <c r="F66" s="16" t="str">
        <f t="shared" si="2"/>
        <v/>
      </c>
      <c r="G66" s="16" t="str">
        <f t="shared" si="3"/>
        <v/>
      </c>
      <c r="H66" s="16"/>
      <c r="I66" s="17"/>
    </row>
    <row r="67" spans="1:9" x14ac:dyDescent="0.6">
      <c r="A67" s="13">
        <v>64</v>
      </c>
      <c r="B67" s="13" t="s">
        <v>122</v>
      </c>
      <c r="C67" s="13" t="s">
        <v>53</v>
      </c>
      <c r="D67" s="14"/>
      <c r="E67" s="15"/>
      <c r="F67" s="16" t="str">
        <f t="shared" si="2"/>
        <v/>
      </c>
      <c r="G67" s="16" t="str">
        <f t="shared" si="3"/>
        <v/>
      </c>
      <c r="H67" s="16"/>
      <c r="I67" s="17"/>
    </row>
    <row r="68" spans="1:9" x14ac:dyDescent="0.6">
      <c r="A68" s="13">
        <v>65</v>
      </c>
      <c r="B68" s="13" t="s">
        <v>123</v>
      </c>
      <c r="C68" s="13" t="s">
        <v>55</v>
      </c>
      <c r="D68" s="14"/>
      <c r="E68" s="15"/>
      <c r="F68" s="16" t="str">
        <f t="shared" ref="F68:F99" si="4">IF($E68="","",LEN(SUBSTITUTE($E68," ",""))+LEN(TRIM($E68))-LEN(SUBSTITUTE(TRIM($E68)," ",""))+1)</f>
        <v/>
      </c>
      <c r="G68" s="16" t="str">
        <f t="shared" ref="G68:G99" si="5">IF($F68="","",IF($F68&gt;76,"너무 김",IF($F68&lt;30,"짧음","좋음")))</f>
        <v/>
      </c>
      <c r="H68" s="16"/>
      <c r="I68" s="17"/>
    </row>
    <row r="69" spans="1:9" x14ac:dyDescent="0.6">
      <c r="A69" s="13">
        <v>66</v>
      </c>
      <c r="B69" s="13" t="s">
        <v>124</v>
      </c>
      <c r="C69" s="13" t="s">
        <v>57</v>
      </c>
      <c r="D69" s="14"/>
      <c r="E69" s="15"/>
      <c r="F69" s="16" t="str">
        <f t="shared" si="4"/>
        <v/>
      </c>
      <c r="G69" s="16" t="str">
        <f t="shared" si="5"/>
        <v/>
      </c>
      <c r="H69" s="16"/>
      <c r="I69" s="17"/>
    </row>
    <row r="70" spans="1:9" x14ac:dyDescent="0.6">
      <c r="A70" s="13">
        <v>67</v>
      </c>
      <c r="B70" s="13" t="s">
        <v>125</v>
      </c>
      <c r="C70" s="13" t="s">
        <v>59</v>
      </c>
      <c r="D70" s="14"/>
      <c r="E70" s="15"/>
      <c r="F70" s="16" t="str">
        <f t="shared" si="4"/>
        <v/>
      </c>
      <c r="G70" s="16" t="str">
        <f t="shared" si="5"/>
        <v/>
      </c>
      <c r="H70" s="16"/>
      <c r="I70" s="17"/>
    </row>
    <row r="71" spans="1:9" x14ac:dyDescent="0.6">
      <c r="A71" s="13">
        <v>68</v>
      </c>
      <c r="B71" s="13" t="s">
        <v>126</v>
      </c>
      <c r="C71" s="13" t="s">
        <v>61</v>
      </c>
      <c r="D71" s="14"/>
      <c r="E71" s="15"/>
      <c r="F71" s="16" t="str">
        <f t="shared" si="4"/>
        <v/>
      </c>
      <c r="G71" s="16" t="str">
        <f t="shared" si="5"/>
        <v/>
      </c>
      <c r="H71" s="16"/>
      <c r="I71" s="17"/>
    </row>
    <row r="72" spans="1:9" x14ac:dyDescent="0.6">
      <c r="A72" s="13">
        <v>69</v>
      </c>
      <c r="B72" s="13" t="s">
        <v>127</v>
      </c>
      <c r="C72" s="13" t="s">
        <v>63</v>
      </c>
      <c r="D72" s="14"/>
      <c r="E72" s="15"/>
      <c r="F72" s="16" t="str">
        <f t="shared" si="4"/>
        <v/>
      </c>
      <c r="G72" s="16" t="str">
        <f t="shared" si="5"/>
        <v/>
      </c>
      <c r="H72" s="16"/>
      <c r="I72" s="17"/>
    </row>
    <row r="73" spans="1:9" x14ac:dyDescent="0.6">
      <c r="A73" s="13">
        <v>70</v>
      </c>
      <c r="B73" s="18" t="s">
        <v>128</v>
      </c>
      <c r="C73" s="19" t="s">
        <v>65</v>
      </c>
      <c r="D73" s="14"/>
      <c r="E73" s="15"/>
      <c r="F73" s="16" t="str">
        <f t="shared" si="4"/>
        <v/>
      </c>
      <c r="G73" s="16" t="str">
        <f t="shared" si="5"/>
        <v/>
      </c>
      <c r="H73" s="16"/>
      <c r="I73" s="17"/>
    </row>
    <row r="74" spans="1:9" x14ac:dyDescent="0.6">
      <c r="A74" s="13">
        <v>71</v>
      </c>
      <c r="B74" s="13" t="s">
        <v>129</v>
      </c>
      <c r="C74" s="13" t="s">
        <v>53</v>
      </c>
      <c r="D74" s="14"/>
      <c r="E74" s="15"/>
      <c r="F74" s="16" t="str">
        <f t="shared" si="4"/>
        <v/>
      </c>
      <c r="G74" s="16" t="str">
        <f t="shared" si="5"/>
        <v/>
      </c>
      <c r="H74" s="16"/>
      <c r="I74" s="17"/>
    </row>
    <row r="75" spans="1:9" x14ac:dyDescent="0.6">
      <c r="A75" s="13">
        <v>72</v>
      </c>
      <c r="B75" s="13" t="s">
        <v>130</v>
      </c>
      <c r="C75" s="13" t="s">
        <v>55</v>
      </c>
      <c r="D75" s="14"/>
      <c r="E75" s="15"/>
      <c r="F75" s="16" t="str">
        <f t="shared" si="4"/>
        <v/>
      </c>
      <c r="G75" s="16" t="str">
        <f t="shared" si="5"/>
        <v/>
      </c>
      <c r="H75" s="16"/>
      <c r="I75" s="17"/>
    </row>
    <row r="76" spans="1:9" x14ac:dyDescent="0.6">
      <c r="A76" s="13">
        <v>73</v>
      </c>
      <c r="B76" s="13" t="s">
        <v>131</v>
      </c>
      <c r="C76" s="13" t="s">
        <v>57</v>
      </c>
      <c r="D76" s="14"/>
      <c r="E76" s="15"/>
      <c r="F76" s="16" t="str">
        <f t="shared" si="4"/>
        <v/>
      </c>
      <c r="G76" s="16" t="str">
        <f t="shared" si="5"/>
        <v/>
      </c>
      <c r="H76" s="16"/>
      <c r="I76" s="17"/>
    </row>
    <row r="77" spans="1:9" x14ac:dyDescent="0.6">
      <c r="A77" s="13">
        <v>74</v>
      </c>
      <c r="B77" s="13" t="s">
        <v>132</v>
      </c>
      <c r="C77" s="13" t="s">
        <v>59</v>
      </c>
      <c r="D77" s="14"/>
      <c r="E77" s="15"/>
      <c r="F77" s="16" t="str">
        <f t="shared" si="4"/>
        <v/>
      </c>
      <c r="G77" s="16" t="str">
        <f t="shared" si="5"/>
        <v/>
      </c>
      <c r="H77" s="16"/>
      <c r="I77" s="17"/>
    </row>
    <row r="78" spans="1:9" x14ac:dyDescent="0.6">
      <c r="A78" s="13">
        <v>75</v>
      </c>
      <c r="B78" s="13" t="s">
        <v>133</v>
      </c>
      <c r="C78" s="13" t="s">
        <v>61</v>
      </c>
      <c r="D78" s="14"/>
      <c r="E78" s="15"/>
      <c r="F78" s="16" t="str">
        <f t="shared" si="4"/>
        <v/>
      </c>
      <c r="G78" s="16" t="str">
        <f t="shared" si="5"/>
        <v/>
      </c>
      <c r="H78" s="16"/>
      <c r="I78" s="17"/>
    </row>
    <row r="79" spans="1:9" x14ac:dyDescent="0.6">
      <c r="A79" s="13">
        <v>76</v>
      </c>
      <c r="B79" s="13" t="s">
        <v>134</v>
      </c>
      <c r="C79" s="13" t="s">
        <v>63</v>
      </c>
      <c r="D79" s="14"/>
      <c r="E79" s="15"/>
      <c r="F79" s="16" t="str">
        <f t="shared" si="4"/>
        <v/>
      </c>
      <c r="G79" s="16" t="str">
        <f t="shared" si="5"/>
        <v/>
      </c>
      <c r="H79" s="16"/>
      <c r="I79" s="17"/>
    </row>
    <row r="80" spans="1:9" x14ac:dyDescent="0.6">
      <c r="A80" s="13">
        <v>77</v>
      </c>
      <c r="B80" s="18" t="s">
        <v>135</v>
      </c>
      <c r="C80" s="19" t="s">
        <v>65</v>
      </c>
      <c r="D80" s="14"/>
      <c r="E80" s="15"/>
      <c r="F80" s="16" t="str">
        <f t="shared" si="4"/>
        <v/>
      </c>
      <c r="G80" s="16" t="str">
        <f t="shared" si="5"/>
        <v/>
      </c>
      <c r="H80" s="16"/>
      <c r="I80" s="17"/>
    </row>
    <row r="81" spans="1:9" x14ac:dyDescent="0.6">
      <c r="A81" s="13">
        <v>78</v>
      </c>
      <c r="B81" s="13" t="s">
        <v>136</v>
      </c>
      <c r="C81" s="13" t="s">
        <v>53</v>
      </c>
      <c r="D81" s="14"/>
      <c r="E81" s="15"/>
      <c r="F81" s="16" t="str">
        <f t="shared" si="4"/>
        <v/>
      </c>
      <c r="G81" s="16" t="str">
        <f t="shared" si="5"/>
        <v/>
      </c>
      <c r="H81" s="16"/>
      <c r="I81" s="17"/>
    </row>
    <row r="82" spans="1:9" x14ac:dyDescent="0.6">
      <c r="A82" s="13">
        <v>79</v>
      </c>
      <c r="B82" s="13" t="s">
        <v>137</v>
      </c>
      <c r="C82" s="13" t="s">
        <v>55</v>
      </c>
      <c r="D82" s="14"/>
      <c r="E82" s="15"/>
      <c r="F82" s="16" t="str">
        <f t="shared" si="4"/>
        <v/>
      </c>
      <c r="G82" s="16" t="str">
        <f t="shared" si="5"/>
        <v/>
      </c>
      <c r="H82" s="16"/>
      <c r="I82" s="17"/>
    </row>
    <row r="83" spans="1:9" x14ac:dyDescent="0.6">
      <c r="A83" s="13">
        <v>80</v>
      </c>
      <c r="B83" s="13" t="s">
        <v>138</v>
      </c>
      <c r="C83" s="13" t="s">
        <v>57</v>
      </c>
      <c r="D83" s="14"/>
      <c r="E83" s="15"/>
      <c r="F83" s="16" t="str">
        <f t="shared" si="4"/>
        <v/>
      </c>
      <c r="G83" s="16" t="str">
        <f t="shared" si="5"/>
        <v/>
      </c>
      <c r="H83" s="16"/>
      <c r="I83" s="17"/>
    </row>
    <row r="84" spans="1:9" x14ac:dyDescent="0.6">
      <c r="A84" s="13">
        <v>81</v>
      </c>
      <c r="B84" s="13" t="s">
        <v>139</v>
      </c>
      <c r="C84" s="13" t="s">
        <v>59</v>
      </c>
      <c r="D84" s="14"/>
      <c r="E84" s="15"/>
      <c r="F84" s="16" t="str">
        <f t="shared" si="4"/>
        <v/>
      </c>
      <c r="G84" s="16" t="str">
        <f t="shared" si="5"/>
        <v/>
      </c>
      <c r="H84" s="16"/>
      <c r="I84" s="17"/>
    </row>
    <row r="85" spans="1:9" x14ac:dyDescent="0.6">
      <c r="A85" s="13">
        <v>82</v>
      </c>
      <c r="B85" s="13" t="s">
        <v>140</v>
      </c>
      <c r="C85" s="13" t="s">
        <v>61</v>
      </c>
      <c r="D85" s="14"/>
      <c r="E85" s="15"/>
      <c r="F85" s="16" t="str">
        <f t="shared" si="4"/>
        <v/>
      </c>
      <c r="G85" s="16" t="str">
        <f t="shared" si="5"/>
        <v/>
      </c>
      <c r="H85" s="16"/>
      <c r="I85" s="17"/>
    </row>
    <row r="86" spans="1:9" x14ac:dyDescent="0.6">
      <c r="A86" s="13">
        <v>83</v>
      </c>
      <c r="B86" s="13" t="s">
        <v>141</v>
      </c>
      <c r="C86" s="13" t="s">
        <v>63</v>
      </c>
      <c r="D86" s="14"/>
      <c r="E86" s="15"/>
      <c r="F86" s="16" t="str">
        <f t="shared" si="4"/>
        <v/>
      </c>
      <c r="G86" s="16" t="str">
        <f t="shared" si="5"/>
        <v/>
      </c>
      <c r="H86" s="16"/>
      <c r="I86" s="17"/>
    </row>
    <row r="87" spans="1:9" x14ac:dyDescent="0.6">
      <c r="A87" s="13">
        <v>84</v>
      </c>
      <c r="B87" s="18" t="s">
        <v>142</v>
      </c>
      <c r="C87" s="19" t="s">
        <v>65</v>
      </c>
      <c r="D87" s="14"/>
      <c r="E87" s="15"/>
      <c r="F87" s="16" t="str">
        <f t="shared" si="4"/>
        <v/>
      </c>
      <c r="G87" s="16" t="str">
        <f t="shared" si="5"/>
        <v/>
      </c>
      <c r="H87" s="16"/>
      <c r="I87" s="17"/>
    </row>
    <row r="88" spans="1:9" x14ac:dyDescent="0.6">
      <c r="A88" s="13">
        <v>85</v>
      </c>
      <c r="B88" s="13" t="s">
        <v>143</v>
      </c>
      <c r="C88" s="13" t="s">
        <v>53</v>
      </c>
      <c r="D88" s="14"/>
      <c r="E88" s="15"/>
      <c r="F88" s="16" t="str">
        <f t="shared" si="4"/>
        <v/>
      </c>
      <c r="G88" s="16" t="str">
        <f t="shared" si="5"/>
        <v/>
      </c>
      <c r="H88" s="16"/>
      <c r="I88" s="17"/>
    </row>
    <row r="89" spans="1:9" x14ac:dyDescent="0.6">
      <c r="A89" s="13">
        <v>86</v>
      </c>
      <c r="B89" s="13" t="s">
        <v>144</v>
      </c>
      <c r="C89" s="13" t="s">
        <v>55</v>
      </c>
      <c r="D89" s="14"/>
      <c r="E89" s="15"/>
      <c r="F89" s="16" t="str">
        <f t="shared" si="4"/>
        <v/>
      </c>
      <c r="G89" s="16" t="str">
        <f t="shared" si="5"/>
        <v/>
      </c>
      <c r="H89" s="16"/>
      <c r="I89" s="17"/>
    </row>
    <row r="90" spans="1:9" x14ac:dyDescent="0.6">
      <c r="A90" s="13">
        <v>87</v>
      </c>
      <c r="B90" s="13" t="s">
        <v>145</v>
      </c>
      <c r="C90" s="13" t="s">
        <v>57</v>
      </c>
      <c r="D90" s="14"/>
      <c r="E90" s="15"/>
      <c r="F90" s="16" t="str">
        <f t="shared" si="4"/>
        <v/>
      </c>
      <c r="G90" s="16" t="str">
        <f t="shared" si="5"/>
        <v/>
      </c>
      <c r="H90" s="16"/>
      <c r="I90" s="17"/>
    </row>
    <row r="91" spans="1:9" x14ac:dyDescent="0.6">
      <c r="A91" s="13">
        <v>88</v>
      </c>
      <c r="B91" s="13" t="s">
        <v>146</v>
      </c>
      <c r="C91" s="13" t="s">
        <v>59</v>
      </c>
      <c r="D91" s="14"/>
      <c r="E91" s="15"/>
      <c r="F91" s="16" t="str">
        <f t="shared" si="4"/>
        <v/>
      </c>
      <c r="G91" s="16" t="str">
        <f t="shared" si="5"/>
        <v/>
      </c>
      <c r="H91" s="16"/>
      <c r="I91" s="17"/>
    </row>
    <row r="92" spans="1:9" x14ac:dyDescent="0.6">
      <c r="A92" s="13">
        <v>89</v>
      </c>
      <c r="B92" s="13" t="s">
        <v>147</v>
      </c>
      <c r="C92" s="13" t="s">
        <v>61</v>
      </c>
      <c r="D92" s="14"/>
      <c r="E92" s="15"/>
      <c r="F92" s="16" t="str">
        <f t="shared" si="4"/>
        <v/>
      </c>
      <c r="G92" s="16" t="str">
        <f t="shared" si="5"/>
        <v/>
      </c>
      <c r="H92" s="16"/>
      <c r="I92" s="17"/>
    </row>
    <row r="93" spans="1:9" x14ac:dyDescent="0.6">
      <c r="A93" s="13">
        <v>90</v>
      </c>
      <c r="B93" s="13" t="s">
        <v>148</v>
      </c>
      <c r="C93" s="13" t="s">
        <v>63</v>
      </c>
      <c r="D93" s="14"/>
      <c r="E93" s="15"/>
      <c r="F93" s="16" t="str">
        <f t="shared" si="4"/>
        <v/>
      </c>
      <c r="G93" s="16" t="str">
        <f t="shared" si="5"/>
        <v/>
      </c>
      <c r="H93" s="16"/>
      <c r="I93" s="17"/>
    </row>
    <row r="94" spans="1:9" x14ac:dyDescent="0.6">
      <c r="A94" s="13">
        <v>91</v>
      </c>
      <c r="B94" s="18" t="s">
        <v>149</v>
      </c>
      <c r="C94" s="19" t="s">
        <v>65</v>
      </c>
      <c r="D94" s="14"/>
      <c r="E94" s="15"/>
      <c r="F94" s="16" t="str">
        <f t="shared" si="4"/>
        <v/>
      </c>
      <c r="G94" s="16" t="str">
        <f t="shared" si="5"/>
        <v/>
      </c>
      <c r="H94" s="16"/>
      <c r="I94" s="17"/>
    </row>
    <row r="95" spans="1:9" x14ac:dyDescent="0.6">
      <c r="A95" s="13">
        <v>92</v>
      </c>
      <c r="B95" s="13" t="s">
        <v>150</v>
      </c>
      <c r="C95" s="13" t="s">
        <v>53</v>
      </c>
      <c r="D95" s="14"/>
      <c r="E95" s="15"/>
      <c r="F95" s="16" t="str">
        <f t="shared" si="4"/>
        <v/>
      </c>
      <c r="G95" s="16" t="str">
        <f t="shared" si="5"/>
        <v/>
      </c>
      <c r="H95" s="16"/>
      <c r="I95" s="17"/>
    </row>
    <row r="96" spans="1:9" x14ac:dyDescent="0.6">
      <c r="A96" s="13">
        <v>93</v>
      </c>
      <c r="B96" s="13" t="s">
        <v>151</v>
      </c>
      <c r="C96" s="13" t="s">
        <v>55</v>
      </c>
      <c r="D96" s="14"/>
      <c r="E96" s="15"/>
      <c r="F96" s="16" t="str">
        <f t="shared" si="4"/>
        <v/>
      </c>
      <c r="G96" s="16" t="str">
        <f t="shared" si="5"/>
        <v/>
      </c>
      <c r="H96" s="16"/>
      <c r="I96" s="17"/>
    </row>
    <row r="97" spans="1:9" x14ac:dyDescent="0.6">
      <c r="A97" s="13">
        <v>94</v>
      </c>
      <c r="B97" s="13" t="s">
        <v>152</v>
      </c>
      <c r="C97" s="13" t="s">
        <v>57</v>
      </c>
      <c r="D97" s="14"/>
      <c r="E97" s="15"/>
      <c r="F97" s="16" t="str">
        <f t="shared" si="4"/>
        <v/>
      </c>
      <c r="G97" s="16" t="str">
        <f t="shared" si="5"/>
        <v/>
      </c>
      <c r="H97" s="16"/>
      <c r="I97" s="17"/>
    </row>
    <row r="98" spans="1:9" x14ac:dyDescent="0.6">
      <c r="A98" s="13">
        <v>95</v>
      </c>
      <c r="B98" s="13" t="s">
        <v>153</v>
      </c>
      <c r="C98" s="13" t="s">
        <v>59</v>
      </c>
      <c r="D98" s="14"/>
      <c r="E98" s="15"/>
      <c r="F98" s="16" t="str">
        <f t="shared" si="4"/>
        <v/>
      </c>
      <c r="G98" s="16" t="str">
        <f t="shared" si="5"/>
        <v/>
      </c>
      <c r="H98" s="16"/>
      <c r="I98" s="17"/>
    </row>
    <row r="99" spans="1:9" x14ac:dyDescent="0.6">
      <c r="A99" s="13">
        <v>96</v>
      </c>
      <c r="B99" s="13" t="s">
        <v>154</v>
      </c>
      <c r="C99" s="13" t="s">
        <v>61</v>
      </c>
      <c r="D99" s="14"/>
      <c r="E99" s="15"/>
      <c r="F99" s="16" t="str">
        <f t="shared" si="4"/>
        <v/>
      </c>
      <c r="G99" s="16" t="str">
        <f t="shared" si="5"/>
        <v/>
      </c>
      <c r="H99" s="16"/>
      <c r="I99" s="17"/>
    </row>
    <row r="100" spans="1:9" x14ac:dyDescent="0.6">
      <c r="A100" s="13">
        <v>97</v>
      </c>
      <c r="B100" s="13" t="s">
        <v>155</v>
      </c>
      <c r="C100" s="13" t="s">
        <v>63</v>
      </c>
      <c r="D100" s="14"/>
      <c r="E100" s="15"/>
      <c r="F100" s="16" t="str">
        <f t="shared" ref="F100:F131" si="6">IF($E100="","",LEN(SUBSTITUTE($E100," ",""))+LEN(TRIM($E100))-LEN(SUBSTITUTE(TRIM($E100)," ",""))+1)</f>
        <v/>
      </c>
      <c r="G100" s="16" t="str">
        <f t="shared" ref="G100:G131" si="7">IF($F100="","",IF($F100&gt;76,"너무 김",IF($F100&lt;30,"짧음","좋음")))</f>
        <v/>
      </c>
      <c r="H100" s="16"/>
      <c r="I100" s="17"/>
    </row>
    <row r="101" spans="1:9" x14ac:dyDescent="0.6">
      <c r="A101" s="13">
        <v>98</v>
      </c>
      <c r="B101" s="18" t="s">
        <v>156</v>
      </c>
      <c r="C101" s="19" t="s">
        <v>65</v>
      </c>
      <c r="D101" s="14"/>
      <c r="E101" s="15"/>
      <c r="F101" s="16" t="str">
        <f t="shared" si="6"/>
        <v/>
      </c>
      <c r="G101" s="16" t="str">
        <f t="shared" si="7"/>
        <v/>
      </c>
      <c r="H101" s="16"/>
      <c r="I101" s="17"/>
    </row>
    <row r="102" spans="1:9" x14ac:dyDescent="0.6">
      <c r="A102" s="13">
        <v>99</v>
      </c>
      <c r="B102" s="13" t="s">
        <v>157</v>
      </c>
      <c r="C102" s="13" t="s">
        <v>53</v>
      </c>
      <c r="D102" s="14"/>
      <c r="E102" s="15"/>
      <c r="F102" s="16" t="str">
        <f t="shared" si="6"/>
        <v/>
      </c>
      <c r="G102" s="16" t="str">
        <f t="shared" si="7"/>
        <v/>
      </c>
      <c r="H102" s="16"/>
      <c r="I102" s="17"/>
    </row>
    <row r="103" spans="1:9" x14ac:dyDescent="0.6">
      <c r="A103" s="13">
        <v>100</v>
      </c>
      <c r="B103" s="13" t="s">
        <v>158</v>
      </c>
      <c r="C103" s="13" t="s">
        <v>55</v>
      </c>
      <c r="D103" s="14"/>
      <c r="E103" s="15"/>
      <c r="F103" s="16" t="str">
        <f t="shared" si="6"/>
        <v/>
      </c>
      <c r="G103" s="16" t="str">
        <f t="shared" si="7"/>
        <v/>
      </c>
      <c r="H103" s="16"/>
      <c r="I103" s="17"/>
    </row>
    <row r="104" spans="1:9" x14ac:dyDescent="0.6">
      <c r="A104" s="13">
        <v>101</v>
      </c>
      <c r="B104" s="13" t="s">
        <v>159</v>
      </c>
      <c r="C104" s="13" t="s">
        <v>57</v>
      </c>
      <c r="D104" s="14"/>
      <c r="E104" s="15"/>
      <c r="F104" s="16" t="str">
        <f t="shared" si="6"/>
        <v/>
      </c>
      <c r="G104" s="16" t="str">
        <f t="shared" si="7"/>
        <v/>
      </c>
      <c r="H104" s="16"/>
      <c r="I104" s="17"/>
    </row>
    <row r="105" spans="1:9" x14ac:dyDescent="0.6">
      <c r="A105" s="13">
        <v>102</v>
      </c>
      <c r="B105" s="13" t="s">
        <v>160</v>
      </c>
      <c r="C105" s="13" t="s">
        <v>59</v>
      </c>
      <c r="D105" s="14"/>
      <c r="E105" s="15"/>
      <c r="F105" s="16" t="str">
        <f t="shared" si="6"/>
        <v/>
      </c>
      <c r="G105" s="16" t="str">
        <f t="shared" si="7"/>
        <v/>
      </c>
      <c r="H105" s="16"/>
      <c r="I105" s="17"/>
    </row>
    <row r="106" spans="1:9" x14ac:dyDescent="0.6">
      <c r="A106" s="13">
        <v>103</v>
      </c>
      <c r="B106" s="13" t="s">
        <v>161</v>
      </c>
      <c r="C106" s="13" t="s">
        <v>61</v>
      </c>
      <c r="D106" s="14"/>
      <c r="E106" s="15"/>
      <c r="F106" s="16" t="str">
        <f t="shared" si="6"/>
        <v/>
      </c>
      <c r="G106" s="16" t="str">
        <f t="shared" si="7"/>
        <v/>
      </c>
      <c r="H106" s="16"/>
      <c r="I106" s="17"/>
    </row>
    <row r="107" spans="1:9" x14ac:dyDescent="0.6">
      <c r="A107" s="13">
        <v>104</v>
      </c>
      <c r="B107" s="13" t="s">
        <v>162</v>
      </c>
      <c r="C107" s="13" t="s">
        <v>63</v>
      </c>
      <c r="D107" s="14"/>
      <c r="E107" s="15"/>
      <c r="F107" s="16" t="str">
        <f t="shared" si="6"/>
        <v/>
      </c>
      <c r="G107" s="16" t="str">
        <f t="shared" si="7"/>
        <v/>
      </c>
      <c r="H107" s="16"/>
      <c r="I107" s="17"/>
    </row>
    <row r="108" spans="1:9" x14ac:dyDescent="0.6">
      <c r="A108" s="13">
        <v>105</v>
      </c>
      <c r="B108" s="18" t="s">
        <v>163</v>
      </c>
      <c r="C108" s="19" t="s">
        <v>65</v>
      </c>
      <c r="D108" s="14"/>
      <c r="E108" s="15"/>
      <c r="F108" s="16" t="str">
        <f t="shared" si="6"/>
        <v/>
      </c>
      <c r="G108" s="16" t="str">
        <f t="shared" si="7"/>
        <v/>
      </c>
      <c r="H108" s="16"/>
      <c r="I108" s="17"/>
    </row>
    <row r="109" spans="1:9" x14ac:dyDescent="0.6">
      <c r="A109" s="13">
        <v>106</v>
      </c>
      <c r="B109" s="13" t="s">
        <v>164</v>
      </c>
      <c r="C109" s="13" t="s">
        <v>53</v>
      </c>
      <c r="D109" s="14"/>
      <c r="E109" s="15"/>
      <c r="F109" s="16" t="str">
        <f t="shared" si="6"/>
        <v/>
      </c>
      <c r="G109" s="16" t="str">
        <f t="shared" si="7"/>
        <v/>
      </c>
      <c r="H109" s="16"/>
      <c r="I109" s="17"/>
    </row>
    <row r="110" spans="1:9" x14ac:dyDescent="0.6">
      <c r="A110" s="13">
        <v>107</v>
      </c>
      <c r="B110" s="13" t="s">
        <v>165</v>
      </c>
      <c r="C110" s="13" t="s">
        <v>55</v>
      </c>
      <c r="D110" s="14"/>
      <c r="E110" s="15"/>
      <c r="F110" s="16" t="str">
        <f t="shared" si="6"/>
        <v/>
      </c>
      <c r="G110" s="16" t="str">
        <f t="shared" si="7"/>
        <v/>
      </c>
      <c r="H110" s="16"/>
      <c r="I110" s="17"/>
    </row>
    <row r="111" spans="1:9" x14ac:dyDescent="0.6">
      <c r="A111" s="13">
        <v>108</v>
      </c>
      <c r="B111" s="13" t="s">
        <v>166</v>
      </c>
      <c r="C111" s="13" t="s">
        <v>57</v>
      </c>
      <c r="D111" s="14"/>
      <c r="E111" s="15"/>
      <c r="F111" s="16" t="str">
        <f t="shared" si="6"/>
        <v/>
      </c>
      <c r="G111" s="16" t="str">
        <f t="shared" si="7"/>
        <v/>
      </c>
      <c r="H111" s="16"/>
      <c r="I111" s="17"/>
    </row>
    <row r="112" spans="1:9" x14ac:dyDescent="0.6">
      <c r="A112" s="13">
        <v>109</v>
      </c>
      <c r="B112" s="13" t="s">
        <v>167</v>
      </c>
      <c r="C112" s="13" t="s">
        <v>59</v>
      </c>
      <c r="D112" s="14"/>
      <c r="E112" s="15"/>
      <c r="F112" s="16" t="str">
        <f t="shared" si="6"/>
        <v/>
      </c>
      <c r="G112" s="16" t="str">
        <f t="shared" si="7"/>
        <v/>
      </c>
      <c r="H112" s="16"/>
      <c r="I112" s="17"/>
    </row>
    <row r="113" spans="1:9" x14ac:dyDescent="0.6">
      <c r="A113" s="13">
        <v>110</v>
      </c>
      <c r="B113" s="13" t="s">
        <v>168</v>
      </c>
      <c r="C113" s="13" t="s">
        <v>61</v>
      </c>
      <c r="D113" s="14"/>
      <c r="E113" s="15"/>
      <c r="F113" s="16" t="str">
        <f t="shared" si="6"/>
        <v/>
      </c>
      <c r="G113" s="16" t="str">
        <f t="shared" si="7"/>
        <v/>
      </c>
      <c r="H113" s="16"/>
      <c r="I113" s="17"/>
    </row>
    <row r="114" spans="1:9" x14ac:dyDescent="0.6">
      <c r="A114" s="13">
        <v>111</v>
      </c>
      <c r="B114" s="13" t="s">
        <v>169</v>
      </c>
      <c r="C114" s="13" t="s">
        <v>63</v>
      </c>
      <c r="D114" s="14"/>
      <c r="E114" s="15"/>
      <c r="F114" s="16" t="str">
        <f t="shared" si="6"/>
        <v/>
      </c>
      <c r="G114" s="16" t="str">
        <f t="shared" si="7"/>
        <v/>
      </c>
      <c r="H114" s="16"/>
      <c r="I114" s="17"/>
    </row>
    <row r="115" spans="1:9" x14ac:dyDescent="0.6">
      <c r="A115" s="13">
        <v>112</v>
      </c>
      <c r="B115" s="18" t="s">
        <v>170</v>
      </c>
      <c r="C115" s="19" t="s">
        <v>65</v>
      </c>
      <c r="D115" s="14"/>
      <c r="E115" s="15"/>
      <c r="F115" s="16" t="str">
        <f t="shared" si="6"/>
        <v/>
      </c>
      <c r="G115" s="16" t="str">
        <f t="shared" si="7"/>
        <v/>
      </c>
      <c r="H115" s="16"/>
      <c r="I115" s="17"/>
    </row>
    <row r="116" spans="1:9" x14ac:dyDescent="0.6">
      <c r="A116" s="13">
        <v>113</v>
      </c>
      <c r="B116" s="13" t="s">
        <v>171</v>
      </c>
      <c r="C116" s="13" t="s">
        <v>53</v>
      </c>
      <c r="D116" s="14"/>
      <c r="E116" s="15"/>
      <c r="F116" s="16" t="str">
        <f t="shared" si="6"/>
        <v/>
      </c>
      <c r="G116" s="16" t="str">
        <f t="shared" si="7"/>
        <v/>
      </c>
      <c r="H116" s="16"/>
      <c r="I116" s="17"/>
    </row>
    <row r="117" spans="1:9" x14ac:dyDescent="0.6">
      <c r="A117" s="13">
        <v>114</v>
      </c>
      <c r="B117" s="13" t="s">
        <v>172</v>
      </c>
      <c r="C117" s="13" t="s">
        <v>55</v>
      </c>
      <c r="D117" s="14"/>
      <c r="E117" s="15"/>
      <c r="F117" s="16" t="str">
        <f t="shared" si="6"/>
        <v/>
      </c>
      <c r="G117" s="16" t="str">
        <f t="shared" si="7"/>
        <v/>
      </c>
      <c r="H117" s="16"/>
      <c r="I117" s="17"/>
    </row>
    <row r="118" spans="1:9" x14ac:dyDescent="0.6">
      <c r="A118" s="13">
        <v>115</v>
      </c>
      <c r="B118" s="13" t="s">
        <v>173</v>
      </c>
      <c r="C118" s="13" t="s">
        <v>57</v>
      </c>
      <c r="D118" s="14"/>
      <c r="E118" s="15"/>
      <c r="F118" s="16" t="str">
        <f t="shared" si="6"/>
        <v/>
      </c>
      <c r="G118" s="16" t="str">
        <f t="shared" si="7"/>
        <v/>
      </c>
      <c r="H118" s="16"/>
      <c r="I118" s="17"/>
    </row>
    <row r="119" spans="1:9" x14ac:dyDescent="0.6">
      <c r="A119" s="13">
        <v>116</v>
      </c>
      <c r="B119" s="13" t="s">
        <v>174</v>
      </c>
      <c r="C119" s="13" t="s">
        <v>59</v>
      </c>
      <c r="D119" s="14"/>
      <c r="E119" s="15"/>
      <c r="F119" s="16" t="str">
        <f t="shared" si="6"/>
        <v/>
      </c>
      <c r="G119" s="16" t="str">
        <f t="shared" si="7"/>
        <v/>
      </c>
      <c r="H119" s="16"/>
      <c r="I119" s="17"/>
    </row>
    <row r="120" spans="1:9" x14ac:dyDescent="0.6">
      <c r="A120" s="13">
        <v>117</v>
      </c>
      <c r="B120" s="13" t="s">
        <v>175</v>
      </c>
      <c r="C120" s="13" t="s">
        <v>61</v>
      </c>
      <c r="D120" s="14"/>
      <c r="E120" s="15"/>
      <c r="F120" s="16" t="str">
        <f t="shared" si="6"/>
        <v/>
      </c>
      <c r="G120" s="16" t="str">
        <f t="shared" si="7"/>
        <v/>
      </c>
      <c r="H120" s="16"/>
      <c r="I120" s="17"/>
    </row>
    <row r="121" spans="1:9" x14ac:dyDescent="0.6">
      <c r="A121" s="13">
        <v>118</v>
      </c>
      <c r="B121" s="13" t="s">
        <v>176</v>
      </c>
      <c r="C121" s="13" t="s">
        <v>63</v>
      </c>
      <c r="D121" s="14"/>
      <c r="E121" s="15"/>
      <c r="F121" s="16" t="str">
        <f t="shared" si="6"/>
        <v/>
      </c>
      <c r="G121" s="16" t="str">
        <f t="shared" si="7"/>
        <v/>
      </c>
      <c r="H121" s="16"/>
      <c r="I121" s="17"/>
    </row>
    <row r="122" spans="1:9" x14ac:dyDescent="0.6">
      <c r="A122" s="13">
        <v>119</v>
      </c>
      <c r="B122" s="18" t="s">
        <v>177</v>
      </c>
      <c r="C122" s="19" t="s">
        <v>65</v>
      </c>
      <c r="D122" s="14"/>
      <c r="E122" s="15"/>
      <c r="F122" s="16" t="str">
        <f t="shared" si="6"/>
        <v/>
      </c>
      <c r="G122" s="16" t="str">
        <f t="shared" si="7"/>
        <v/>
      </c>
      <c r="H122" s="16"/>
      <c r="I122" s="17"/>
    </row>
    <row r="123" spans="1:9" x14ac:dyDescent="0.6">
      <c r="A123" s="13">
        <v>120</v>
      </c>
      <c r="B123" s="13" t="s">
        <v>178</v>
      </c>
      <c r="C123" s="13" t="s">
        <v>53</v>
      </c>
      <c r="D123" s="14"/>
      <c r="E123" s="15"/>
      <c r="F123" s="16" t="str">
        <f t="shared" si="6"/>
        <v/>
      </c>
      <c r="G123" s="16" t="str">
        <f t="shared" si="7"/>
        <v/>
      </c>
      <c r="H123" s="16"/>
      <c r="I123" s="17"/>
    </row>
    <row r="124" spans="1:9" x14ac:dyDescent="0.6">
      <c r="A124" s="13">
        <v>121</v>
      </c>
      <c r="B124" s="13" t="s">
        <v>179</v>
      </c>
      <c r="C124" s="13" t="s">
        <v>55</v>
      </c>
      <c r="D124" s="14"/>
      <c r="E124" s="15"/>
      <c r="F124" s="16" t="str">
        <f t="shared" si="6"/>
        <v/>
      </c>
      <c r="G124" s="16" t="str">
        <f t="shared" si="7"/>
        <v/>
      </c>
      <c r="H124" s="16"/>
      <c r="I124" s="17"/>
    </row>
    <row r="125" spans="1:9" x14ac:dyDescent="0.6">
      <c r="A125" s="13">
        <v>122</v>
      </c>
      <c r="B125" s="13" t="s">
        <v>180</v>
      </c>
      <c r="C125" s="13" t="s">
        <v>57</v>
      </c>
      <c r="D125" s="14"/>
      <c r="E125" s="15"/>
      <c r="F125" s="16" t="str">
        <f t="shared" si="6"/>
        <v/>
      </c>
      <c r="G125" s="16" t="str">
        <f t="shared" si="7"/>
        <v/>
      </c>
      <c r="H125" s="16"/>
      <c r="I125" s="17"/>
    </row>
    <row r="126" spans="1:9" x14ac:dyDescent="0.6">
      <c r="A126" s="13">
        <v>123</v>
      </c>
      <c r="B126" s="13" t="s">
        <v>181</v>
      </c>
      <c r="C126" s="13" t="s">
        <v>59</v>
      </c>
      <c r="D126" s="14"/>
      <c r="E126" s="15"/>
      <c r="F126" s="16" t="str">
        <f t="shared" si="6"/>
        <v/>
      </c>
      <c r="G126" s="16" t="str">
        <f t="shared" si="7"/>
        <v/>
      </c>
      <c r="H126" s="16"/>
      <c r="I126" s="17"/>
    </row>
    <row r="127" spans="1:9" x14ac:dyDescent="0.6">
      <c r="A127" s="13">
        <v>124</v>
      </c>
      <c r="B127" s="13" t="s">
        <v>182</v>
      </c>
      <c r="C127" s="13" t="s">
        <v>61</v>
      </c>
      <c r="D127" s="14"/>
      <c r="E127" s="15"/>
      <c r="F127" s="16" t="str">
        <f t="shared" si="6"/>
        <v/>
      </c>
      <c r="G127" s="16" t="str">
        <f t="shared" si="7"/>
        <v/>
      </c>
      <c r="H127" s="16"/>
      <c r="I127" s="17"/>
    </row>
    <row r="128" spans="1:9" x14ac:dyDescent="0.6">
      <c r="A128" s="13">
        <v>125</v>
      </c>
      <c r="B128" s="13" t="s">
        <v>183</v>
      </c>
      <c r="C128" s="13" t="s">
        <v>63</v>
      </c>
      <c r="D128" s="14"/>
      <c r="E128" s="15"/>
      <c r="F128" s="16" t="str">
        <f t="shared" si="6"/>
        <v/>
      </c>
      <c r="G128" s="16" t="str">
        <f t="shared" si="7"/>
        <v/>
      </c>
      <c r="H128" s="16"/>
      <c r="I128" s="17"/>
    </row>
    <row r="129" spans="1:9" x14ac:dyDescent="0.6">
      <c r="A129" s="13">
        <v>126</v>
      </c>
      <c r="B129" s="18" t="s">
        <v>184</v>
      </c>
      <c r="C129" s="19" t="s">
        <v>65</v>
      </c>
      <c r="D129" s="14"/>
      <c r="E129" s="15"/>
      <c r="F129" s="16" t="str">
        <f t="shared" si="6"/>
        <v/>
      </c>
      <c r="G129" s="16" t="str">
        <f t="shared" si="7"/>
        <v/>
      </c>
      <c r="H129" s="16"/>
      <c r="I129" s="17"/>
    </row>
    <row r="130" spans="1:9" x14ac:dyDescent="0.6">
      <c r="A130" s="13">
        <v>127</v>
      </c>
      <c r="B130" s="13" t="s">
        <v>185</v>
      </c>
      <c r="C130" s="13" t="s">
        <v>53</v>
      </c>
      <c r="D130" s="14"/>
      <c r="E130" s="15"/>
      <c r="F130" s="16" t="str">
        <f t="shared" si="6"/>
        <v/>
      </c>
      <c r="G130" s="16" t="str">
        <f t="shared" si="7"/>
        <v/>
      </c>
      <c r="H130" s="16"/>
      <c r="I130" s="17"/>
    </row>
    <row r="131" spans="1:9" x14ac:dyDescent="0.6">
      <c r="A131" s="13">
        <v>128</v>
      </c>
      <c r="B131" s="13" t="s">
        <v>186</v>
      </c>
      <c r="C131" s="13" t="s">
        <v>55</v>
      </c>
      <c r="D131" s="14"/>
      <c r="E131" s="15"/>
      <c r="F131" s="16" t="str">
        <f t="shared" si="6"/>
        <v/>
      </c>
      <c r="G131" s="16" t="str">
        <f t="shared" si="7"/>
        <v/>
      </c>
      <c r="H131" s="16"/>
      <c r="I131" s="17"/>
    </row>
    <row r="132" spans="1:9" x14ac:dyDescent="0.6">
      <c r="A132" s="13">
        <v>129</v>
      </c>
      <c r="B132" s="13" t="s">
        <v>187</v>
      </c>
      <c r="C132" s="13" t="s">
        <v>57</v>
      </c>
      <c r="D132" s="14"/>
      <c r="E132" s="15"/>
      <c r="F132" s="16" t="str">
        <f t="shared" ref="F132:F163" si="8">IF($E132="","",LEN(SUBSTITUTE($E132," ",""))+LEN(TRIM($E132))-LEN(SUBSTITUTE(TRIM($E132)," ",""))+1)</f>
        <v/>
      </c>
      <c r="G132" s="16" t="str">
        <f t="shared" ref="G132:G163" si="9">IF($F132="","",IF($F132&gt;76,"너무 김",IF($F132&lt;30,"짧음","좋음")))</f>
        <v/>
      </c>
      <c r="H132" s="16"/>
      <c r="I132" s="17"/>
    </row>
    <row r="133" spans="1:9" x14ac:dyDescent="0.6">
      <c r="A133" s="13">
        <v>130</v>
      </c>
      <c r="B133" s="13" t="s">
        <v>188</v>
      </c>
      <c r="C133" s="13" t="s">
        <v>59</v>
      </c>
      <c r="D133" s="14"/>
      <c r="E133" s="15"/>
      <c r="F133" s="16" t="str">
        <f t="shared" si="8"/>
        <v/>
      </c>
      <c r="G133" s="16" t="str">
        <f t="shared" si="9"/>
        <v/>
      </c>
      <c r="H133" s="16"/>
      <c r="I133" s="17"/>
    </row>
    <row r="134" spans="1:9" x14ac:dyDescent="0.6">
      <c r="A134" s="13">
        <v>131</v>
      </c>
      <c r="B134" s="13" t="s">
        <v>189</v>
      </c>
      <c r="C134" s="13" t="s">
        <v>61</v>
      </c>
      <c r="D134" s="14"/>
      <c r="E134" s="15"/>
      <c r="F134" s="16" t="str">
        <f t="shared" si="8"/>
        <v/>
      </c>
      <c r="G134" s="16" t="str">
        <f t="shared" si="9"/>
        <v/>
      </c>
      <c r="H134" s="16"/>
      <c r="I134" s="17"/>
    </row>
    <row r="135" spans="1:9" x14ac:dyDescent="0.6">
      <c r="A135" s="13">
        <v>132</v>
      </c>
      <c r="B135" s="13" t="s">
        <v>190</v>
      </c>
      <c r="C135" s="13" t="s">
        <v>63</v>
      </c>
      <c r="D135" s="14"/>
      <c r="E135" s="15"/>
      <c r="F135" s="16" t="str">
        <f t="shared" si="8"/>
        <v/>
      </c>
      <c r="G135" s="16" t="str">
        <f t="shared" si="9"/>
        <v/>
      </c>
      <c r="H135" s="16"/>
      <c r="I135" s="17"/>
    </row>
    <row r="136" spans="1:9" x14ac:dyDescent="0.6">
      <c r="A136" s="13">
        <v>133</v>
      </c>
      <c r="B136" s="18" t="s">
        <v>191</v>
      </c>
      <c r="C136" s="19" t="s">
        <v>65</v>
      </c>
      <c r="D136" s="14"/>
      <c r="E136" s="15"/>
      <c r="F136" s="16" t="str">
        <f t="shared" si="8"/>
        <v/>
      </c>
      <c r="G136" s="16" t="str">
        <f t="shared" si="9"/>
        <v/>
      </c>
      <c r="H136" s="16"/>
      <c r="I136" s="17"/>
    </row>
    <row r="137" spans="1:9" x14ac:dyDescent="0.6">
      <c r="A137" s="13">
        <v>134</v>
      </c>
      <c r="B137" s="13" t="s">
        <v>192</v>
      </c>
      <c r="C137" s="13" t="s">
        <v>53</v>
      </c>
      <c r="D137" s="14"/>
      <c r="E137" s="15"/>
      <c r="F137" s="16" t="str">
        <f t="shared" si="8"/>
        <v/>
      </c>
      <c r="G137" s="16" t="str">
        <f t="shared" si="9"/>
        <v/>
      </c>
      <c r="H137" s="16"/>
      <c r="I137" s="17"/>
    </row>
    <row r="138" spans="1:9" x14ac:dyDescent="0.6">
      <c r="A138" s="13">
        <v>135</v>
      </c>
      <c r="B138" s="13" t="s">
        <v>193</v>
      </c>
      <c r="C138" s="13" t="s">
        <v>55</v>
      </c>
      <c r="D138" s="14"/>
      <c r="E138" s="15"/>
      <c r="F138" s="16" t="str">
        <f t="shared" si="8"/>
        <v/>
      </c>
      <c r="G138" s="16" t="str">
        <f t="shared" si="9"/>
        <v/>
      </c>
      <c r="H138" s="16"/>
      <c r="I138" s="17"/>
    </row>
    <row r="139" spans="1:9" x14ac:dyDescent="0.6">
      <c r="A139" s="13">
        <v>136</v>
      </c>
      <c r="B139" s="13" t="s">
        <v>194</v>
      </c>
      <c r="C139" s="13" t="s">
        <v>57</v>
      </c>
      <c r="D139" s="14"/>
      <c r="E139" s="15"/>
      <c r="F139" s="16" t="str">
        <f t="shared" si="8"/>
        <v/>
      </c>
      <c r="G139" s="16" t="str">
        <f t="shared" si="9"/>
        <v/>
      </c>
      <c r="H139" s="16"/>
      <c r="I139" s="17"/>
    </row>
    <row r="140" spans="1:9" x14ac:dyDescent="0.6">
      <c r="A140" s="13">
        <v>137</v>
      </c>
      <c r="B140" s="13" t="s">
        <v>195</v>
      </c>
      <c r="C140" s="13" t="s">
        <v>59</v>
      </c>
      <c r="D140" s="14"/>
      <c r="E140" s="15"/>
      <c r="F140" s="16" t="str">
        <f t="shared" si="8"/>
        <v/>
      </c>
      <c r="G140" s="16" t="str">
        <f t="shared" si="9"/>
        <v/>
      </c>
      <c r="H140" s="16"/>
      <c r="I140" s="17"/>
    </row>
    <row r="141" spans="1:9" x14ac:dyDescent="0.6">
      <c r="A141" s="13">
        <v>138</v>
      </c>
      <c r="B141" s="13" t="s">
        <v>196</v>
      </c>
      <c r="C141" s="13" t="s">
        <v>61</v>
      </c>
      <c r="D141" s="14"/>
      <c r="E141" s="15"/>
      <c r="F141" s="16" t="str">
        <f t="shared" si="8"/>
        <v/>
      </c>
      <c r="G141" s="16" t="str">
        <f t="shared" si="9"/>
        <v/>
      </c>
      <c r="H141" s="16"/>
      <c r="I141" s="17"/>
    </row>
    <row r="142" spans="1:9" x14ac:dyDescent="0.6">
      <c r="A142" s="13">
        <v>139</v>
      </c>
      <c r="B142" s="13" t="s">
        <v>197</v>
      </c>
      <c r="C142" s="13" t="s">
        <v>63</v>
      </c>
      <c r="D142" s="14"/>
      <c r="E142" s="15"/>
      <c r="F142" s="16" t="str">
        <f t="shared" si="8"/>
        <v/>
      </c>
      <c r="G142" s="16" t="str">
        <f t="shared" si="9"/>
        <v/>
      </c>
      <c r="H142" s="16"/>
      <c r="I142" s="17"/>
    </row>
    <row r="143" spans="1:9" x14ac:dyDescent="0.6">
      <c r="A143" s="13">
        <v>140</v>
      </c>
      <c r="B143" s="18" t="s">
        <v>198</v>
      </c>
      <c r="C143" s="19" t="s">
        <v>65</v>
      </c>
      <c r="D143" s="14"/>
      <c r="E143" s="15"/>
      <c r="F143" s="16" t="str">
        <f t="shared" si="8"/>
        <v/>
      </c>
      <c r="G143" s="16" t="str">
        <f t="shared" si="9"/>
        <v/>
      </c>
      <c r="H143" s="16"/>
      <c r="I143" s="17"/>
    </row>
    <row r="144" spans="1:9" x14ac:dyDescent="0.6">
      <c r="A144" s="13">
        <v>141</v>
      </c>
      <c r="B144" s="13" t="s">
        <v>199</v>
      </c>
      <c r="C144" s="13" t="s">
        <v>53</v>
      </c>
      <c r="D144" s="14"/>
      <c r="E144" s="15"/>
      <c r="F144" s="16" t="str">
        <f t="shared" si="8"/>
        <v/>
      </c>
      <c r="G144" s="16" t="str">
        <f t="shared" si="9"/>
        <v/>
      </c>
      <c r="H144" s="16"/>
      <c r="I144" s="17"/>
    </row>
    <row r="145" spans="1:9" x14ac:dyDescent="0.6">
      <c r="A145" s="13">
        <v>142</v>
      </c>
      <c r="B145" s="13" t="s">
        <v>200</v>
      </c>
      <c r="C145" s="13" t="s">
        <v>55</v>
      </c>
      <c r="D145" s="14"/>
      <c r="E145" s="15"/>
      <c r="F145" s="16" t="str">
        <f t="shared" si="8"/>
        <v/>
      </c>
      <c r="G145" s="16" t="str">
        <f t="shared" si="9"/>
        <v/>
      </c>
      <c r="H145" s="16"/>
      <c r="I145" s="17"/>
    </row>
    <row r="146" spans="1:9" x14ac:dyDescent="0.6">
      <c r="A146" s="13">
        <v>143</v>
      </c>
      <c r="B146" s="13" t="s">
        <v>201</v>
      </c>
      <c r="C146" s="13" t="s">
        <v>57</v>
      </c>
      <c r="D146" s="14"/>
      <c r="E146" s="15"/>
      <c r="F146" s="16" t="str">
        <f t="shared" si="8"/>
        <v/>
      </c>
      <c r="G146" s="16" t="str">
        <f t="shared" si="9"/>
        <v/>
      </c>
      <c r="H146" s="16"/>
      <c r="I146" s="17"/>
    </row>
    <row r="147" spans="1:9" x14ac:dyDescent="0.6">
      <c r="A147" s="13">
        <v>144</v>
      </c>
      <c r="B147" s="13" t="s">
        <v>202</v>
      </c>
      <c r="C147" s="13" t="s">
        <v>59</v>
      </c>
      <c r="D147" s="14"/>
      <c r="E147" s="15"/>
      <c r="F147" s="16" t="str">
        <f t="shared" si="8"/>
        <v/>
      </c>
      <c r="G147" s="16" t="str">
        <f t="shared" si="9"/>
        <v/>
      </c>
      <c r="H147" s="16"/>
      <c r="I147" s="17"/>
    </row>
    <row r="148" spans="1:9" x14ac:dyDescent="0.6">
      <c r="A148" s="13">
        <v>145</v>
      </c>
      <c r="B148" s="13" t="s">
        <v>203</v>
      </c>
      <c r="C148" s="13" t="s">
        <v>61</v>
      </c>
      <c r="D148" s="14"/>
      <c r="E148" s="15"/>
      <c r="F148" s="16" t="str">
        <f t="shared" si="8"/>
        <v/>
      </c>
      <c r="G148" s="16" t="str">
        <f t="shared" si="9"/>
        <v/>
      </c>
      <c r="H148" s="16"/>
      <c r="I148" s="17"/>
    </row>
    <row r="149" spans="1:9" x14ac:dyDescent="0.6">
      <c r="A149" s="13">
        <v>146</v>
      </c>
      <c r="B149" s="13" t="s">
        <v>204</v>
      </c>
      <c r="C149" s="13" t="s">
        <v>63</v>
      </c>
      <c r="D149" s="14"/>
      <c r="E149" s="15"/>
      <c r="F149" s="16" t="str">
        <f t="shared" si="8"/>
        <v/>
      </c>
      <c r="G149" s="16" t="str">
        <f t="shared" si="9"/>
        <v/>
      </c>
      <c r="H149" s="16"/>
      <c r="I149" s="17"/>
    </row>
    <row r="150" spans="1:9" x14ac:dyDescent="0.6">
      <c r="A150" s="13">
        <v>147</v>
      </c>
      <c r="B150" s="18" t="s">
        <v>205</v>
      </c>
      <c r="C150" s="19" t="s">
        <v>65</v>
      </c>
      <c r="D150" s="14"/>
      <c r="E150" s="15"/>
      <c r="F150" s="16" t="str">
        <f t="shared" si="8"/>
        <v/>
      </c>
      <c r="G150" s="16" t="str">
        <f t="shared" si="9"/>
        <v/>
      </c>
      <c r="H150" s="16"/>
      <c r="I150" s="17"/>
    </row>
    <row r="151" spans="1:9" x14ac:dyDescent="0.6">
      <c r="A151" s="13">
        <v>148</v>
      </c>
      <c r="B151" s="13" t="s">
        <v>206</v>
      </c>
      <c r="C151" s="13" t="s">
        <v>53</v>
      </c>
      <c r="D151" s="14"/>
      <c r="E151" s="15"/>
      <c r="F151" s="16" t="str">
        <f t="shared" si="8"/>
        <v/>
      </c>
      <c r="G151" s="16" t="str">
        <f t="shared" si="9"/>
        <v/>
      </c>
      <c r="H151" s="16"/>
      <c r="I151" s="17"/>
    </row>
    <row r="152" spans="1:9" x14ac:dyDescent="0.6">
      <c r="A152" s="13">
        <v>149</v>
      </c>
      <c r="B152" s="13" t="s">
        <v>207</v>
      </c>
      <c r="C152" s="13" t="s">
        <v>55</v>
      </c>
      <c r="D152" s="14"/>
      <c r="E152" s="15"/>
      <c r="F152" s="16" t="str">
        <f t="shared" si="8"/>
        <v/>
      </c>
      <c r="G152" s="16" t="str">
        <f t="shared" si="9"/>
        <v/>
      </c>
      <c r="H152" s="16"/>
      <c r="I152" s="17"/>
    </row>
    <row r="153" spans="1:9" x14ac:dyDescent="0.6">
      <c r="A153" s="13">
        <v>150</v>
      </c>
      <c r="B153" s="13" t="s">
        <v>208</v>
      </c>
      <c r="C153" s="13" t="s">
        <v>57</v>
      </c>
      <c r="D153" s="14"/>
      <c r="E153" s="15"/>
      <c r="F153" s="16" t="str">
        <f t="shared" si="8"/>
        <v/>
      </c>
      <c r="G153" s="16" t="str">
        <f t="shared" si="9"/>
        <v/>
      </c>
      <c r="H153" s="16"/>
      <c r="I153" s="17"/>
    </row>
    <row r="154" spans="1:9" x14ac:dyDescent="0.6">
      <c r="A154" s="13">
        <v>151</v>
      </c>
      <c r="B154" s="13" t="s">
        <v>209</v>
      </c>
      <c r="C154" s="13" t="s">
        <v>59</v>
      </c>
      <c r="D154" s="14"/>
      <c r="E154" s="15"/>
      <c r="F154" s="16" t="str">
        <f t="shared" si="8"/>
        <v/>
      </c>
      <c r="G154" s="16" t="str">
        <f t="shared" si="9"/>
        <v/>
      </c>
      <c r="H154" s="16"/>
      <c r="I154" s="17"/>
    </row>
    <row r="155" spans="1:9" x14ac:dyDescent="0.6">
      <c r="A155" s="13">
        <v>152</v>
      </c>
      <c r="B155" s="13" t="s">
        <v>210</v>
      </c>
      <c r="C155" s="13" t="s">
        <v>61</v>
      </c>
      <c r="D155" s="14"/>
      <c r="E155" s="15"/>
      <c r="F155" s="16" t="str">
        <f t="shared" si="8"/>
        <v/>
      </c>
      <c r="G155" s="16" t="str">
        <f t="shared" si="9"/>
        <v/>
      </c>
      <c r="H155" s="16"/>
      <c r="I155" s="17"/>
    </row>
    <row r="156" spans="1:9" x14ac:dyDescent="0.6">
      <c r="A156" s="13">
        <v>153</v>
      </c>
      <c r="B156" s="13" t="s">
        <v>211</v>
      </c>
      <c r="C156" s="13" t="s">
        <v>63</v>
      </c>
      <c r="D156" s="14"/>
      <c r="E156" s="15"/>
      <c r="F156" s="16" t="str">
        <f t="shared" si="8"/>
        <v/>
      </c>
      <c r="G156" s="16" t="str">
        <f t="shared" si="9"/>
        <v/>
      </c>
      <c r="H156" s="16"/>
      <c r="I156" s="17"/>
    </row>
    <row r="157" spans="1:9" x14ac:dyDescent="0.6">
      <c r="A157" s="13">
        <v>154</v>
      </c>
      <c r="B157" s="18" t="s">
        <v>212</v>
      </c>
      <c r="C157" s="19" t="s">
        <v>65</v>
      </c>
      <c r="D157" s="14"/>
      <c r="E157" s="15"/>
      <c r="F157" s="16" t="str">
        <f t="shared" si="8"/>
        <v/>
      </c>
      <c r="G157" s="16" t="str">
        <f t="shared" si="9"/>
        <v/>
      </c>
      <c r="H157" s="16"/>
      <c r="I157" s="17"/>
    </row>
    <row r="158" spans="1:9" x14ac:dyDescent="0.6">
      <c r="A158" s="13">
        <v>155</v>
      </c>
      <c r="B158" s="13" t="s">
        <v>213</v>
      </c>
      <c r="C158" s="13" t="s">
        <v>53</v>
      </c>
      <c r="D158" s="14"/>
      <c r="E158" s="15"/>
      <c r="F158" s="16" t="str">
        <f t="shared" si="8"/>
        <v/>
      </c>
      <c r="G158" s="16" t="str">
        <f t="shared" si="9"/>
        <v/>
      </c>
      <c r="H158" s="16"/>
      <c r="I158" s="17"/>
    </row>
    <row r="159" spans="1:9" x14ac:dyDescent="0.6">
      <c r="A159" s="13">
        <v>156</v>
      </c>
      <c r="B159" s="13" t="s">
        <v>214</v>
      </c>
      <c r="C159" s="13" t="s">
        <v>55</v>
      </c>
      <c r="D159" s="14"/>
      <c r="E159" s="15"/>
      <c r="F159" s="16" t="str">
        <f t="shared" si="8"/>
        <v/>
      </c>
      <c r="G159" s="16" t="str">
        <f t="shared" si="9"/>
        <v/>
      </c>
      <c r="H159" s="16"/>
      <c r="I159" s="17"/>
    </row>
    <row r="160" spans="1:9" x14ac:dyDescent="0.6">
      <c r="A160" s="13">
        <v>157</v>
      </c>
      <c r="B160" s="13" t="s">
        <v>215</v>
      </c>
      <c r="C160" s="13" t="s">
        <v>57</v>
      </c>
      <c r="D160" s="14"/>
      <c r="E160" s="15"/>
      <c r="F160" s="16" t="str">
        <f t="shared" si="8"/>
        <v/>
      </c>
      <c r="G160" s="16" t="str">
        <f t="shared" si="9"/>
        <v/>
      </c>
      <c r="H160" s="16"/>
      <c r="I160" s="17"/>
    </row>
    <row r="161" spans="1:9" x14ac:dyDescent="0.6">
      <c r="A161" s="13">
        <v>158</v>
      </c>
      <c r="B161" s="13" t="s">
        <v>216</v>
      </c>
      <c r="C161" s="13" t="s">
        <v>59</v>
      </c>
      <c r="D161" s="14"/>
      <c r="E161" s="15"/>
      <c r="F161" s="16" t="str">
        <f t="shared" si="8"/>
        <v/>
      </c>
      <c r="G161" s="16" t="str">
        <f t="shared" si="9"/>
        <v/>
      </c>
      <c r="H161" s="16"/>
      <c r="I161" s="17"/>
    </row>
    <row r="162" spans="1:9" x14ac:dyDescent="0.6">
      <c r="A162" s="13">
        <v>159</v>
      </c>
      <c r="B162" s="13" t="s">
        <v>217</v>
      </c>
      <c r="C162" s="13" t="s">
        <v>61</v>
      </c>
      <c r="D162" s="14"/>
      <c r="E162" s="15"/>
      <c r="F162" s="16" t="str">
        <f t="shared" si="8"/>
        <v/>
      </c>
      <c r="G162" s="16" t="str">
        <f t="shared" si="9"/>
        <v/>
      </c>
      <c r="H162" s="16"/>
      <c r="I162" s="17"/>
    </row>
    <row r="163" spans="1:9" x14ac:dyDescent="0.6">
      <c r="A163" s="13">
        <v>160</v>
      </c>
      <c r="B163" s="13" t="s">
        <v>218</v>
      </c>
      <c r="C163" s="13" t="s">
        <v>63</v>
      </c>
      <c r="D163" s="14"/>
      <c r="E163" s="15"/>
      <c r="F163" s="16" t="str">
        <f t="shared" si="8"/>
        <v/>
      </c>
      <c r="G163" s="16" t="str">
        <f t="shared" si="9"/>
        <v/>
      </c>
      <c r="H163" s="16"/>
      <c r="I163" s="17"/>
    </row>
    <row r="164" spans="1:9" x14ac:dyDescent="0.6">
      <c r="A164" s="13">
        <v>161</v>
      </c>
      <c r="B164" s="18" t="s">
        <v>219</v>
      </c>
      <c r="C164" s="19" t="s">
        <v>65</v>
      </c>
      <c r="D164" s="14"/>
      <c r="E164" s="15"/>
      <c r="F164" s="16" t="str">
        <f t="shared" ref="F164:F183" si="10">IF($E164="","",LEN(SUBSTITUTE($E164," ",""))+LEN(TRIM($E164))-LEN(SUBSTITUTE(TRIM($E164)," ",""))+1)</f>
        <v/>
      </c>
      <c r="G164" s="16" t="str">
        <f t="shared" ref="G164:G183" si="11">IF($F164="","",IF($F164&gt;76,"너무 김",IF($F164&lt;30,"짧음","좋음")))</f>
        <v/>
      </c>
      <c r="H164" s="16"/>
      <c r="I164" s="17"/>
    </row>
    <row r="165" spans="1:9" x14ac:dyDescent="0.6">
      <c r="A165" s="13">
        <v>162</v>
      </c>
      <c r="B165" s="13" t="s">
        <v>220</v>
      </c>
      <c r="C165" s="13" t="s">
        <v>53</v>
      </c>
      <c r="D165" s="14"/>
      <c r="E165" s="15"/>
      <c r="F165" s="16" t="str">
        <f t="shared" si="10"/>
        <v/>
      </c>
      <c r="G165" s="16" t="str">
        <f t="shared" si="11"/>
        <v/>
      </c>
      <c r="H165" s="16"/>
      <c r="I165" s="17"/>
    </row>
    <row r="166" spans="1:9" x14ac:dyDescent="0.6">
      <c r="A166" s="13">
        <v>163</v>
      </c>
      <c r="B166" s="13" t="s">
        <v>221</v>
      </c>
      <c r="C166" s="13" t="s">
        <v>55</v>
      </c>
      <c r="D166" s="14"/>
      <c r="E166" s="15"/>
      <c r="F166" s="16" t="str">
        <f t="shared" si="10"/>
        <v/>
      </c>
      <c r="G166" s="16" t="str">
        <f t="shared" si="11"/>
        <v/>
      </c>
      <c r="H166" s="16"/>
      <c r="I166" s="17"/>
    </row>
    <row r="167" spans="1:9" x14ac:dyDescent="0.6">
      <c r="A167" s="13">
        <v>164</v>
      </c>
      <c r="B167" s="13" t="s">
        <v>222</v>
      </c>
      <c r="C167" s="13" t="s">
        <v>57</v>
      </c>
      <c r="D167" s="14"/>
      <c r="E167" s="15"/>
      <c r="F167" s="16" t="str">
        <f t="shared" si="10"/>
        <v/>
      </c>
      <c r="G167" s="16" t="str">
        <f t="shared" si="11"/>
        <v/>
      </c>
      <c r="H167" s="16"/>
      <c r="I167" s="17"/>
    </row>
    <row r="168" spans="1:9" x14ac:dyDescent="0.6">
      <c r="A168" s="13">
        <v>165</v>
      </c>
      <c r="B168" s="13" t="s">
        <v>223</v>
      </c>
      <c r="C168" s="13" t="s">
        <v>59</v>
      </c>
      <c r="D168" s="14"/>
      <c r="E168" s="15"/>
      <c r="F168" s="16" t="str">
        <f t="shared" si="10"/>
        <v/>
      </c>
      <c r="G168" s="16" t="str">
        <f t="shared" si="11"/>
        <v/>
      </c>
      <c r="H168" s="16"/>
      <c r="I168" s="17"/>
    </row>
    <row r="169" spans="1:9" x14ac:dyDescent="0.6">
      <c r="A169" s="13">
        <v>166</v>
      </c>
      <c r="B169" s="13" t="s">
        <v>224</v>
      </c>
      <c r="C169" s="13" t="s">
        <v>61</v>
      </c>
      <c r="D169" s="14"/>
      <c r="E169" s="15"/>
      <c r="F169" s="16" t="str">
        <f t="shared" si="10"/>
        <v/>
      </c>
      <c r="G169" s="16" t="str">
        <f t="shared" si="11"/>
        <v/>
      </c>
      <c r="H169" s="16"/>
      <c r="I169" s="17"/>
    </row>
    <row r="170" spans="1:9" x14ac:dyDescent="0.6">
      <c r="A170" s="13">
        <v>167</v>
      </c>
      <c r="B170" s="13" t="s">
        <v>225</v>
      </c>
      <c r="C170" s="13" t="s">
        <v>63</v>
      </c>
      <c r="D170" s="14"/>
      <c r="E170" s="15"/>
      <c r="F170" s="16" t="str">
        <f t="shared" si="10"/>
        <v/>
      </c>
      <c r="G170" s="16" t="str">
        <f t="shared" si="11"/>
        <v/>
      </c>
      <c r="H170" s="16"/>
      <c r="I170" s="17"/>
    </row>
    <row r="171" spans="1:9" x14ac:dyDescent="0.6">
      <c r="A171" s="13">
        <v>168</v>
      </c>
      <c r="B171" s="18" t="s">
        <v>226</v>
      </c>
      <c r="C171" s="19" t="s">
        <v>65</v>
      </c>
      <c r="D171" s="14"/>
      <c r="E171" s="15"/>
      <c r="F171" s="16" t="str">
        <f t="shared" si="10"/>
        <v/>
      </c>
      <c r="G171" s="16" t="str">
        <f t="shared" si="11"/>
        <v/>
      </c>
      <c r="H171" s="16"/>
      <c r="I171" s="17"/>
    </row>
    <row r="172" spans="1:9" x14ac:dyDescent="0.6">
      <c r="A172" s="13">
        <v>169</v>
      </c>
      <c r="B172" s="13" t="s">
        <v>227</v>
      </c>
      <c r="C172" s="13" t="s">
        <v>53</v>
      </c>
      <c r="D172" s="14"/>
      <c r="E172" s="15"/>
      <c r="F172" s="16" t="str">
        <f t="shared" si="10"/>
        <v/>
      </c>
      <c r="G172" s="16" t="str">
        <f t="shared" si="11"/>
        <v/>
      </c>
      <c r="H172" s="16"/>
      <c r="I172" s="17"/>
    </row>
    <row r="173" spans="1:9" x14ac:dyDescent="0.6">
      <c r="A173" s="13">
        <v>170</v>
      </c>
      <c r="B173" s="13" t="s">
        <v>228</v>
      </c>
      <c r="C173" s="13" t="s">
        <v>55</v>
      </c>
      <c r="D173" s="14"/>
      <c r="E173" s="15"/>
      <c r="F173" s="16" t="str">
        <f t="shared" si="10"/>
        <v/>
      </c>
      <c r="G173" s="16" t="str">
        <f t="shared" si="11"/>
        <v/>
      </c>
      <c r="H173" s="16"/>
      <c r="I173" s="17"/>
    </row>
    <row r="174" spans="1:9" x14ac:dyDescent="0.6">
      <c r="A174" s="13">
        <v>171</v>
      </c>
      <c r="B174" s="13" t="s">
        <v>229</v>
      </c>
      <c r="C174" s="13" t="s">
        <v>57</v>
      </c>
      <c r="D174" s="14"/>
      <c r="E174" s="15"/>
      <c r="F174" s="16" t="str">
        <f t="shared" si="10"/>
        <v/>
      </c>
      <c r="G174" s="16" t="str">
        <f t="shared" si="11"/>
        <v/>
      </c>
      <c r="H174" s="16"/>
      <c r="I174" s="17"/>
    </row>
    <row r="175" spans="1:9" x14ac:dyDescent="0.6">
      <c r="A175" s="13">
        <v>172</v>
      </c>
      <c r="B175" s="13" t="s">
        <v>230</v>
      </c>
      <c r="C175" s="13" t="s">
        <v>59</v>
      </c>
      <c r="D175" s="14"/>
      <c r="E175" s="15"/>
      <c r="F175" s="16" t="str">
        <f t="shared" si="10"/>
        <v/>
      </c>
      <c r="G175" s="16" t="str">
        <f t="shared" si="11"/>
        <v/>
      </c>
      <c r="H175" s="16"/>
      <c r="I175" s="17"/>
    </row>
    <row r="176" spans="1:9" x14ac:dyDescent="0.6">
      <c r="A176" s="13">
        <v>173</v>
      </c>
      <c r="B176" s="13" t="s">
        <v>231</v>
      </c>
      <c r="C176" s="13" t="s">
        <v>61</v>
      </c>
      <c r="D176" s="14"/>
      <c r="E176" s="15"/>
      <c r="F176" s="16" t="str">
        <f t="shared" si="10"/>
        <v/>
      </c>
      <c r="G176" s="16" t="str">
        <f t="shared" si="11"/>
        <v/>
      </c>
      <c r="H176" s="16"/>
      <c r="I176" s="17"/>
    </row>
    <row r="177" spans="1:9" x14ac:dyDescent="0.6">
      <c r="A177" s="13">
        <v>174</v>
      </c>
      <c r="B177" s="13" t="s">
        <v>232</v>
      </c>
      <c r="C177" s="13" t="s">
        <v>63</v>
      </c>
      <c r="D177" s="14"/>
      <c r="E177" s="15"/>
      <c r="F177" s="16" t="str">
        <f t="shared" si="10"/>
        <v/>
      </c>
      <c r="G177" s="16" t="str">
        <f t="shared" si="11"/>
        <v/>
      </c>
      <c r="H177" s="16"/>
      <c r="I177" s="17"/>
    </row>
    <row r="178" spans="1:9" x14ac:dyDescent="0.6">
      <c r="A178" s="13">
        <v>175</v>
      </c>
      <c r="B178" s="18" t="s">
        <v>233</v>
      </c>
      <c r="C178" s="19" t="s">
        <v>65</v>
      </c>
      <c r="D178" s="14"/>
      <c r="E178" s="15"/>
      <c r="F178" s="16" t="str">
        <f t="shared" si="10"/>
        <v/>
      </c>
      <c r="G178" s="16" t="str">
        <f t="shared" si="11"/>
        <v/>
      </c>
      <c r="H178" s="16"/>
      <c r="I178" s="17"/>
    </row>
    <row r="179" spans="1:9" x14ac:dyDescent="0.6">
      <c r="A179" s="13">
        <v>176</v>
      </c>
      <c r="B179" s="13" t="s">
        <v>234</v>
      </c>
      <c r="C179" s="13" t="s">
        <v>53</v>
      </c>
      <c r="D179" s="14"/>
      <c r="E179" s="15"/>
      <c r="F179" s="16" t="str">
        <f t="shared" si="10"/>
        <v/>
      </c>
      <c r="G179" s="16" t="str">
        <f t="shared" si="11"/>
        <v/>
      </c>
      <c r="H179" s="16"/>
      <c r="I179" s="17"/>
    </row>
    <row r="180" spans="1:9" x14ac:dyDescent="0.6">
      <c r="A180" s="13">
        <v>177</v>
      </c>
      <c r="B180" s="13" t="s">
        <v>235</v>
      </c>
      <c r="C180" s="13" t="s">
        <v>55</v>
      </c>
      <c r="D180" s="14"/>
      <c r="E180" s="15"/>
      <c r="F180" s="16" t="str">
        <f t="shared" si="10"/>
        <v/>
      </c>
      <c r="G180" s="16" t="str">
        <f t="shared" si="11"/>
        <v/>
      </c>
      <c r="H180" s="16"/>
      <c r="I180" s="17"/>
    </row>
    <row r="181" spans="1:9" x14ac:dyDescent="0.6">
      <c r="A181" s="13">
        <v>178</v>
      </c>
      <c r="B181" s="13" t="s">
        <v>236</v>
      </c>
      <c r="C181" s="13" t="s">
        <v>57</v>
      </c>
      <c r="D181" s="14"/>
      <c r="E181" s="15"/>
      <c r="F181" s="16" t="str">
        <f t="shared" si="10"/>
        <v/>
      </c>
      <c r="G181" s="16" t="str">
        <f t="shared" si="11"/>
        <v/>
      </c>
      <c r="H181" s="16"/>
      <c r="I181" s="17"/>
    </row>
    <row r="182" spans="1:9" x14ac:dyDescent="0.6">
      <c r="A182" s="13">
        <v>179</v>
      </c>
      <c r="B182" s="13" t="s">
        <v>237</v>
      </c>
      <c r="C182" s="13" t="s">
        <v>59</v>
      </c>
      <c r="D182" s="14"/>
      <c r="E182" s="15"/>
      <c r="F182" s="16" t="str">
        <f t="shared" si="10"/>
        <v/>
      </c>
      <c r="G182" s="16" t="str">
        <f t="shared" si="11"/>
        <v/>
      </c>
      <c r="H182" s="16"/>
      <c r="I182" s="17"/>
    </row>
    <row r="183" spans="1:9" x14ac:dyDescent="0.6">
      <c r="A183" s="13">
        <v>180</v>
      </c>
      <c r="B183" s="13" t="s">
        <v>238</v>
      </c>
      <c r="C183" s="13" t="s">
        <v>61</v>
      </c>
      <c r="D183" s="14"/>
      <c r="E183" s="15"/>
      <c r="F183" s="16" t="str">
        <f t="shared" si="10"/>
        <v/>
      </c>
      <c r="G183" s="16" t="str">
        <f t="shared" si="11"/>
        <v/>
      </c>
      <c r="H183" s="16"/>
      <c r="I183" s="17"/>
    </row>
  </sheetData>
  <autoFilter ref="A3:I183" xr:uid="{00000000-0009-0000-0000-000001000000}"/>
  <mergeCells count="1">
    <mergeCell ref="A1:I1"/>
  </mergeCells>
  <phoneticPr fontId="19" type="noConversion"/>
  <conditionalFormatting sqref="A4:I183">
    <cfRule type="expression" dxfId="2" priority="1">
      <formula>$G4="너무 김"</formula>
    </cfRule>
    <cfRule type="expression" dxfId="1" priority="2">
      <formula>$G4="짧음"</formula>
    </cfRule>
    <cfRule type="expression" dxfId="0" priority="3">
      <formula>$G4="좋음"</formula>
    </cfRule>
  </conditionalFormatting>
  <dataValidations count="1">
    <dataValidation type="whole" allowBlank="1" showErrorMessage="1" errorTitle="액자 번호" error="액자 그림은 1~12 사이 번호입니다. 모르시면 비워 두세요." sqref="H4:H183" xr:uid="{00000000-0002-0000-0100-000000000000}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1"/>
  <sheetViews>
    <sheetView showGridLines="0" workbookViewId="0"/>
  </sheetViews>
  <sheetFormatPr defaultRowHeight="16.899999999999999" x14ac:dyDescent="0.6"/>
  <cols>
    <col min="2" max="2" width="26" customWidth="1"/>
    <col min="3" max="3" width="14" customWidth="1"/>
    <col min="4" max="4" width="44" customWidth="1"/>
  </cols>
  <sheetData>
    <row r="2" spans="2:4" ht="30" customHeight="1" x14ac:dyDescent="0.85">
      <c r="B2" s="32" t="s">
        <v>239</v>
      </c>
      <c r="C2" s="24"/>
      <c r="D2" s="24"/>
    </row>
    <row r="4" spans="2:4" ht="26" customHeight="1" x14ac:dyDescent="0.6">
      <c r="B4" s="20" t="s">
        <v>240</v>
      </c>
      <c r="C4" s="21">
        <f>COUNTA('구절 입력'!$E$4:$E$183)</f>
        <v>10</v>
      </c>
      <c r="D4" s="22" t="s">
        <v>241</v>
      </c>
    </row>
    <row r="5" spans="2:4" ht="26" customHeight="1" x14ac:dyDescent="0.6">
      <c r="B5" s="20" t="s">
        <v>242</v>
      </c>
      <c r="C5" s="21">
        <f>COUNTIF('구절 입력'!$G$4:$G$183,"좋음")</f>
        <v>10</v>
      </c>
      <c r="D5" s="22" t="s">
        <v>243</v>
      </c>
    </row>
    <row r="6" spans="2:4" ht="26" customHeight="1" x14ac:dyDescent="0.6">
      <c r="B6" s="20" t="s">
        <v>244</v>
      </c>
      <c r="C6" s="21">
        <f>COUNTIF('구절 입력'!$G$4:$G$183,"짧음")</f>
        <v>0</v>
      </c>
      <c r="D6" s="22" t="s">
        <v>245</v>
      </c>
    </row>
    <row r="7" spans="2:4" ht="26" customHeight="1" x14ac:dyDescent="0.6">
      <c r="B7" s="20" t="s">
        <v>246</v>
      </c>
      <c r="C7" s="21">
        <f>COUNTIF('구절 입력'!$G$4:$G$183,"너무 김")</f>
        <v>0</v>
      </c>
      <c r="D7" s="22" t="s">
        <v>247</v>
      </c>
    </row>
    <row r="8" spans="2:4" ht="26" customHeight="1" x14ac:dyDescent="0.6">
      <c r="B8" s="20" t="s">
        <v>248</v>
      </c>
      <c r="C8" s="21">
        <f>IF(COUNT('구절 입력'!$F$4:$F$183)=0,"",MAX('구절 입력'!$F$4:$F$183))</f>
        <v>69</v>
      </c>
      <c r="D8" s="22" t="s">
        <v>249</v>
      </c>
    </row>
    <row r="9" spans="2:4" ht="26" customHeight="1" x14ac:dyDescent="0.6">
      <c r="B9" s="20" t="s">
        <v>250</v>
      </c>
      <c r="C9" s="21">
        <f>180-COUNTA('구절 입력'!$E$4:$E$183)</f>
        <v>170</v>
      </c>
      <c r="D9" s="22" t="s">
        <v>251</v>
      </c>
    </row>
    <row r="11" spans="2:4" ht="32" customHeight="1" x14ac:dyDescent="0.6">
      <c r="B11" s="29" t="s">
        <v>252</v>
      </c>
      <c r="C11" s="24"/>
      <c r="D11" s="24"/>
    </row>
  </sheetData>
  <mergeCells count="2">
    <mergeCell ref="B11:D11"/>
    <mergeCell ref="B2:D2"/>
  </mergeCells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구절 입력</vt:lpstr>
      <vt:lpstr>진행 상황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 세웅</cp:lastModifiedBy>
  <dcterms:created xsi:type="dcterms:W3CDTF">2026-09-10T01:42:21Z</dcterms:created>
  <dcterms:modified xsi:type="dcterms:W3CDTF">2026-09-10T03:51:35Z</dcterms:modified>
</cp:coreProperties>
</file>